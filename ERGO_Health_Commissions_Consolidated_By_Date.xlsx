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Εκκαθαρίσεις ανά Ημερομηνία" sheetId="1" state="visible" r:id="rId1"/>
    <sheet xmlns:r="http://schemas.openxmlformats.org/officeDocument/2006/relationships" name="Σύνολα ανά Μήνα" sheetId="2" state="visible" r:id="rId2"/>
    <sheet xmlns:r="http://schemas.openxmlformats.org/officeDocument/2006/relationships" name="Ανά Συμβόλαιο &amp; Μήνα" sheetId="3" state="visible" r:id="rId3"/>
    <sheet xmlns:r="http://schemas.openxmlformats.org/officeDocument/2006/relationships" name="Καλύψεις &amp; Ποσοστά Συμβολαίω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8EEF5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05F73"/>
        <bgColor rgb="00005F73"/>
      </patternFill>
    </fill>
    <fill>
      <patternFill patternType="solid">
        <fgColor rgb="00FFF3CD"/>
        <bgColor rgb="00FFF3CD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B365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164" fontId="5" fillId="4" borderId="3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  <xf numFmtId="10" fontId="5" fillId="0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0" fontId="5" fillId="0" borderId="3" applyAlignment="1" pivotButton="0" quotePrefix="0" xfId="0">
      <alignment horizontal="right" vertical="center"/>
    </xf>
    <xf numFmtId="10" fontId="5" fillId="4" borderId="3" applyAlignment="1" pivotButton="0" quotePrefix="0" xfId="0">
      <alignment horizontal="right" vertical="center"/>
    </xf>
    <xf numFmtId="10" fontId="4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6" customWidth="1" min="4" max="4"/>
    <col width="18" customWidth="1" min="5" max="5"/>
    <col width="16" customWidth="1" min="6" max="6"/>
    <col width="28" customWidth="1" min="7" max="7"/>
    <col width="12" customWidth="1" min="8" max="8"/>
    <col width="12" customWidth="1" min="9" max="9"/>
    <col width="12" customWidth="1" min="10" max="10"/>
    <col width="18" customWidth="1" min="11" max="11"/>
    <col width="18" customWidth="1" min="12" max="12"/>
    <col width="20" customWidth="1" min="13" max="13"/>
    <col width="18" customWidth="1" min="14" max="14"/>
    <col width="18" customWidth="1" min="15" max="15"/>
    <col width="22" customWidth="1" min="16" max="16"/>
    <col width="14" customWidth="1" min="17" max="17"/>
    <col width="22" customWidth="1" min="18" max="18"/>
  </cols>
  <sheetData>
    <row r="1" ht="36" customHeight="1">
      <c r="A1" s="1" t="inlineStr">
        <is>
          <t>ERGO - ΣΥΓΚΕΝΤΡΩΤΙΚΕΣ ΕΚΚΑΘΑΡΙΣΕΙΣ ΠΡΟΜΗΘΕΙΩΝ YΓΕΙΑΣ &amp; ΖΩΗΣ ΑΝΑ ΗΜΕΡΟΜΗΝΙΑ</t>
        </is>
      </c>
    </row>
    <row r="2" ht="20" customHeight="1">
      <c r="A2" s="2" t="inlineStr">
        <is>
          <t>Ενοποιημένο αρχείο παραστατικών εκκαθάρισης (Φεβρουάριος 2026 - Ιούλιος 2026) σε χρονολογική σειρά</t>
        </is>
      </c>
    </row>
    <row r="4" ht="28" customHeight="1">
      <c r="A4" s="3" t="inlineStr">
        <is>
          <t>Α/Α</t>
        </is>
      </c>
      <c r="B4" s="3" t="inlineStr">
        <is>
          <t>Ημερομηνία</t>
        </is>
      </c>
      <c r="C4" s="3" t="inlineStr">
        <is>
          <t>Μήνας Εκκαθ.</t>
        </is>
      </c>
      <c r="D4" s="3" t="inlineStr">
        <is>
          <t>Βαθμίδα</t>
        </is>
      </c>
      <c r="E4" s="3" t="inlineStr">
        <is>
          <t>Αρ. Συμβολαίου</t>
        </is>
      </c>
      <c r="F4" s="3" t="inlineStr">
        <is>
          <t>Αρ. Απόδειξης</t>
        </is>
      </c>
      <c r="G4" s="3" t="inlineStr">
        <is>
          <t>Ονοματεπώνυμο Πελάτη</t>
        </is>
      </c>
      <c r="H4" s="3" t="inlineStr">
        <is>
          <t>Τρ. Πληρ.</t>
        </is>
      </c>
      <c r="I4" s="3" t="inlineStr">
        <is>
          <t>Διαν. Έτος</t>
        </is>
      </c>
      <c r="J4" s="3" t="inlineStr">
        <is>
          <t>Διάρκεια</t>
        </is>
      </c>
      <c r="K4" s="3" t="inlineStr">
        <is>
          <t>Καθαρά ΒΚ (€)</t>
        </is>
      </c>
      <c r="L4" s="3" t="inlineStr">
        <is>
          <t>Καθαρά ΣΚ (€)</t>
        </is>
      </c>
      <c r="M4" s="3" t="inlineStr">
        <is>
          <t>Καθαρά Σύνολο (€)</t>
        </is>
      </c>
      <c r="N4" s="3" t="inlineStr">
        <is>
          <t>Προμήθεια ΒΚ (€)</t>
        </is>
      </c>
      <c r="O4" s="3" t="inlineStr">
        <is>
          <t>Προμήθεια ΣΚ (€)</t>
        </is>
      </c>
      <c r="P4" s="3" t="inlineStr">
        <is>
          <t>Προμήθεια Σύνολο (€)</t>
        </is>
      </c>
      <c r="Q4" s="3" t="inlineStr">
        <is>
          <t>Φόρος (€)</t>
        </is>
      </c>
      <c r="R4" s="3" t="inlineStr">
        <is>
          <t>Καθαρό Πληρωτέο (€)</t>
        </is>
      </c>
    </row>
    <row r="5" ht="20" customHeight="1">
      <c r="A5" s="4" t="n">
        <v>1</v>
      </c>
      <c r="B5" s="4" t="inlineStr">
        <is>
          <t>27/01/2026</t>
        </is>
      </c>
      <c r="C5" s="4" t="inlineStr">
        <is>
          <t>03/2026</t>
        </is>
      </c>
      <c r="D5" s="4" t="inlineStr">
        <is>
          <t>AGENCY</t>
        </is>
      </c>
      <c r="E5" s="4" t="n">
        <v>2026000161</v>
      </c>
      <c r="F5" s="4" t="n">
        <v>126288</v>
      </c>
      <c r="G5" s="5" t="inlineStr">
        <is>
          <t>ΤΕΖΚΟΣΑΡ ΑΓΛΑΙΑ</t>
        </is>
      </c>
      <c r="H5" s="4" t="n">
        <v>4</v>
      </c>
      <c r="I5" s="4" t="n">
        <v>1</v>
      </c>
      <c r="J5" s="4" t="n">
        <v>1</v>
      </c>
      <c r="K5" s="6" t="n">
        <v>0</v>
      </c>
      <c r="L5" s="6" t="n">
        <v>414.55</v>
      </c>
      <c r="M5" s="6" t="n">
        <v>414.55</v>
      </c>
      <c r="N5" s="6" t="n">
        <v>0</v>
      </c>
      <c r="O5" s="6" t="n">
        <v>23.24</v>
      </c>
      <c r="P5" s="6" t="n">
        <v>23.24</v>
      </c>
      <c r="Q5" s="6" t="n">
        <v>0</v>
      </c>
      <c r="R5" s="6">
        <f>P5-Q5</f>
        <v/>
      </c>
    </row>
    <row r="6" ht="20" customHeight="1">
      <c r="A6" s="4" t="n">
        <v>2</v>
      </c>
      <c r="B6" s="4" t="inlineStr">
        <is>
          <t>27/01/2026</t>
        </is>
      </c>
      <c r="C6" s="4" t="inlineStr">
        <is>
          <t>03/2026</t>
        </is>
      </c>
      <c r="D6" s="4" t="inlineStr">
        <is>
          <t>ΣΥΝΕΡΓΑΤΗΣ</t>
        </is>
      </c>
      <c r="E6" s="4" t="n">
        <v>2026000161</v>
      </c>
      <c r="F6" s="4" t="n">
        <v>126288</v>
      </c>
      <c r="G6" s="5" t="inlineStr">
        <is>
          <t>ΤΕΖΚΟΣΑΡ ΑΓΛΑΙΑ</t>
        </is>
      </c>
      <c r="H6" s="4" t="n">
        <v>4</v>
      </c>
      <c r="I6" s="4" t="n">
        <v>1</v>
      </c>
      <c r="J6" s="4" t="n">
        <v>1</v>
      </c>
      <c r="K6" s="6" t="n">
        <v>0</v>
      </c>
      <c r="L6" s="6" t="n">
        <v>414.55</v>
      </c>
      <c r="M6" s="6" t="n">
        <v>414.55</v>
      </c>
      <c r="N6" s="6" t="n">
        <v>0</v>
      </c>
      <c r="O6" s="6" t="n">
        <v>116.18</v>
      </c>
      <c r="P6" s="6" t="n">
        <v>116.18</v>
      </c>
      <c r="Q6" s="6" t="n">
        <v>0</v>
      </c>
      <c r="R6" s="6">
        <f>P6-Q6</f>
        <v/>
      </c>
    </row>
    <row r="7" ht="20" customHeight="1">
      <c r="A7" s="4" t="n">
        <v>3</v>
      </c>
      <c r="B7" s="4" t="inlineStr">
        <is>
          <t>29/01/2026</t>
        </is>
      </c>
      <c r="C7" s="4" t="inlineStr">
        <is>
          <t>02/2026</t>
        </is>
      </c>
      <c r="D7" s="4" t="inlineStr">
        <is>
          <t>AGENCY</t>
        </is>
      </c>
      <c r="E7" s="4" t="n">
        <v>2026000182</v>
      </c>
      <c r="F7" s="4" t="n">
        <v>126309</v>
      </c>
      <c r="G7" s="5" t="inlineStr">
        <is>
          <t>ΠΑΠΑΔΑΚΗΣ ΦΑΙΔΩΝ</t>
        </is>
      </c>
      <c r="H7" s="4" t="n">
        <v>1</v>
      </c>
      <c r="I7" s="4" t="n">
        <v>1</v>
      </c>
      <c r="J7" s="4" t="n">
        <v>1</v>
      </c>
      <c r="K7" s="6" t="n">
        <v>0</v>
      </c>
      <c r="L7" s="6" t="n">
        <v>896.3</v>
      </c>
      <c r="M7" s="6" t="n">
        <v>896.3</v>
      </c>
      <c r="N7" s="6" t="n">
        <v>0</v>
      </c>
      <c r="O7" s="6" t="n">
        <v>51.99</v>
      </c>
      <c r="P7" s="6" t="n">
        <v>51.99</v>
      </c>
      <c r="Q7" s="6" t="n">
        <v>0</v>
      </c>
      <c r="R7" s="6">
        <f>P7-Q7</f>
        <v/>
      </c>
    </row>
    <row r="8" ht="20" customHeight="1">
      <c r="A8" s="4" t="n">
        <v>4</v>
      </c>
      <c r="B8" s="4" t="inlineStr">
        <is>
          <t>02/02/2026</t>
        </is>
      </c>
      <c r="C8" s="4" t="inlineStr">
        <is>
          <t>04/2026</t>
        </is>
      </c>
      <c r="D8" s="4" t="inlineStr">
        <is>
          <t>AGENCY</t>
        </is>
      </c>
      <c r="E8" s="4" t="n">
        <v>2026000210</v>
      </c>
      <c r="F8" s="4" t="n">
        <v>126337</v>
      </c>
      <c r="G8" s="5" t="inlineStr">
        <is>
          <t>ΜΟΥΛΑΚΑΚΗΣ ΓΡΗΓΟΡΙΟΣ</t>
        </is>
      </c>
      <c r="H8" s="4" t="n">
        <v>1</v>
      </c>
      <c r="I8" s="4" t="n">
        <v>1</v>
      </c>
      <c r="J8" s="4" t="n">
        <v>20</v>
      </c>
      <c r="K8" s="6" t="n">
        <v>-390.36</v>
      </c>
      <c r="L8" s="6" t="n">
        <v>-639.41</v>
      </c>
      <c r="M8" s="6" t="n">
        <v>-1029.77</v>
      </c>
      <c r="N8" s="6" t="n">
        <v>-9.76</v>
      </c>
      <c r="O8" s="6" t="n">
        <v>-18.76</v>
      </c>
      <c r="P8" s="6" t="n">
        <v>-28.52</v>
      </c>
      <c r="Q8" s="6" t="n">
        <v>0</v>
      </c>
      <c r="R8" s="6">
        <f>P8-Q8</f>
        <v/>
      </c>
    </row>
    <row r="9" ht="20" customHeight="1">
      <c r="A9" s="4" t="n">
        <v>5</v>
      </c>
      <c r="B9" s="4" t="inlineStr">
        <is>
          <t>02/02/2026</t>
        </is>
      </c>
      <c r="C9" s="4" t="inlineStr">
        <is>
          <t>04/2026</t>
        </is>
      </c>
      <c r="D9" s="4" t="inlineStr">
        <is>
          <t>AGENCY</t>
        </is>
      </c>
      <c r="E9" s="4" t="n">
        <v>2026000210</v>
      </c>
      <c r="F9" s="4" t="n">
        <v>126337</v>
      </c>
      <c r="G9" s="5" t="inlineStr">
        <is>
          <t>ΜΟΥΛΑΚΑΚΗΣ ΓΡΗΓΟΡΙΟΣ</t>
        </is>
      </c>
      <c r="H9" s="4" t="n">
        <v>1</v>
      </c>
      <c r="I9" s="4" t="n">
        <v>1</v>
      </c>
      <c r="J9" s="4" t="n">
        <v>20</v>
      </c>
      <c r="K9" s="6" t="n">
        <v>390.36</v>
      </c>
      <c r="L9" s="6" t="n">
        <v>639.41</v>
      </c>
      <c r="M9" s="6" t="n">
        <v>1029.77</v>
      </c>
      <c r="N9" s="6" t="n">
        <v>9.76</v>
      </c>
      <c r="O9" s="6" t="n">
        <v>18.76</v>
      </c>
      <c r="P9" s="6" t="n">
        <v>28.52</v>
      </c>
      <c r="Q9" s="6" t="n">
        <v>0</v>
      </c>
      <c r="R9" s="6">
        <f>P9-Q9</f>
        <v/>
      </c>
    </row>
    <row r="10" ht="20" customHeight="1">
      <c r="A10" s="4" t="n">
        <v>6</v>
      </c>
      <c r="B10" s="4" t="inlineStr">
        <is>
          <t>14/02/2026</t>
        </is>
      </c>
      <c r="C10" s="4" t="inlineStr">
        <is>
          <t>03/2026</t>
        </is>
      </c>
      <c r="D10" s="4" t="inlineStr">
        <is>
          <t>AGENCY</t>
        </is>
      </c>
      <c r="E10" s="4" t="n">
        <v>2025000256</v>
      </c>
      <c r="F10" s="4" t="n">
        <v>80404824</v>
      </c>
      <c r="G10" s="5" t="inlineStr">
        <is>
          <t>ΒΑΒΑΤΣΙΚΟΣ ΔΗΜΗΤΡΙΟΣ</t>
        </is>
      </c>
      <c r="H10" s="4" t="n">
        <v>1</v>
      </c>
      <c r="I10" s="4" t="n">
        <v>2</v>
      </c>
      <c r="J10" s="4" t="n">
        <v>1</v>
      </c>
      <c r="K10" s="6" t="n">
        <v>0</v>
      </c>
      <c r="L10" s="6" t="n">
        <v>1093.95</v>
      </c>
      <c r="M10" s="6" t="n">
        <v>1093.95</v>
      </c>
      <c r="N10" s="6" t="n">
        <v>0</v>
      </c>
      <c r="O10" s="6" t="n">
        <v>53.01</v>
      </c>
      <c r="P10" s="6" t="n">
        <v>53.01</v>
      </c>
      <c r="Q10" s="6" t="n">
        <v>0</v>
      </c>
      <c r="R10" s="6">
        <f>P10-Q10</f>
        <v/>
      </c>
    </row>
    <row r="11" ht="20" customHeight="1">
      <c r="A11" s="4" t="n">
        <v>7</v>
      </c>
      <c r="B11" s="4" t="inlineStr">
        <is>
          <t>14/02/2026</t>
        </is>
      </c>
      <c r="C11" s="4" t="inlineStr">
        <is>
          <t>03/2026</t>
        </is>
      </c>
      <c r="D11" s="4" t="inlineStr">
        <is>
          <t>ΣΥΝΕΡΓΑΤΗΣ</t>
        </is>
      </c>
      <c r="E11" s="4" t="n">
        <v>2025000256</v>
      </c>
      <c r="F11" s="4" t="n">
        <v>80404824</v>
      </c>
      <c r="G11" s="5" t="inlineStr">
        <is>
          <t>ΒΑΒΑΤΣΙΚΟΣ ΔΗΜΗΤΡΙΟΣ</t>
        </is>
      </c>
      <c r="H11" s="4" t="n">
        <v>1</v>
      </c>
      <c r="I11" s="4" t="n">
        <v>2</v>
      </c>
      <c r="J11" s="4" t="n">
        <v>1</v>
      </c>
      <c r="K11" s="6" t="n">
        <v>0</v>
      </c>
      <c r="L11" s="6" t="n">
        <v>1093.95</v>
      </c>
      <c r="M11" s="6" t="n">
        <v>1093.95</v>
      </c>
      <c r="N11" s="6" t="n">
        <v>0</v>
      </c>
      <c r="O11" s="6" t="n">
        <v>265.07</v>
      </c>
      <c r="P11" s="6" t="n">
        <v>265.07</v>
      </c>
      <c r="Q11" s="6" t="n">
        <v>0</v>
      </c>
      <c r="R11" s="6">
        <f>P11-Q11</f>
        <v/>
      </c>
    </row>
    <row r="12" ht="20" customHeight="1">
      <c r="A12" s="4" t="n">
        <v>8</v>
      </c>
      <c r="B12" s="4" t="inlineStr">
        <is>
          <t>14/02/2026</t>
        </is>
      </c>
      <c r="C12" s="4" t="inlineStr">
        <is>
          <t>03/2026</t>
        </is>
      </c>
      <c r="D12" s="4" t="inlineStr">
        <is>
          <t>AGENCY</t>
        </is>
      </c>
      <c r="E12" s="4" t="n">
        <v>2025000256</v>
      </c>
      <c r="F12" s="4" t="n">
        <v>80404824</v>
      </c>
      <c r="G12" s="5" t="inlineStr">
        <is>
          <t>ΒΑΒΑΤΣΙΚΟΣ ΔΗΜΗΤΡΙΟΣ</t>
        </is>
      </c>
      <c r="H12" s="4" t="n">
        <v>1</v>
      </c>
      <c r="I12" s="4" t="n">
        <v>2</v>
      </c>
      <c r="J12" s="4" t="n">
        <v>1</v>
      </c>
      <c r="K12" s="6" t="n">
        <v>0</v>
      </c>
      <c r="L12" s="6" t="n">
        <v>-1093.95</v>
      </c>
      <c r="M12" s="6" t="n">
        <v>-1093.95</v>
      </c>
      <c r="N12" s="6" t="n">
        <v>0</v>
      </c>
      <c r="O12" s="6" t="n">
        <v>-53.01</v>
      </c>
      <c r="P12" s="6" t="n">
        <v>-53.01</v>
      </c>
      <c r="Q12" s="6" t="n">
        <v>0</v>
      </c>
      <c r="R12" s="6">
        <f>P12-Q12</f>
        <v/>
      </c>
    </row>
    <row r="13" ht="20" customHeight="1">
      <c r="A13" s="4" t="n">
        <v>9</v>
      </c>
      <c r="B13" s="4" t="inlineStr">
        <is>
          <t>14/02/2026</t>
        </is>
      </c>
      <c r="C13" s="4" t="inlineStr">
        <is>
          <t>03/2026</t>
        </is>
      </c>
      <c r="D13" s="4" t="inlineStr">
        <is>
          <t>ΣΥΝΕΡΓΑΤΗΣ</t>
        </is>
      </c>
      <c r="E13" s="4" t="n">
        <v>2025000256</v>
      </c>
      <c r="F13" s="4" t="n">
        <v>80404824</v>
      </c>
      <c r="G13" s="5" t="inlineStr">
        <is>
          <t>ΒΑΒΑΤΣΙΚΟΣ ΔΗΜΗΤΡΙΟΣ</t>
        </is>
      </c>
      <c r="H13" s="4" t="n">
        <v>1</v>
      </c>
      <c r="I13" s="4" t="n">
        <v>2</v>
      </c>
      <c r="J13" s="4" t="n">
        <v>1</v>
      </c>
      <c r="K13" s="6" t="n">
        <v>0</v>
      </c>
      <c r="L13" s="6" t="n">
        <v>-1093.95</v>
      </c>
      <c r="M13" s="6" t="n">
        <v>-1093.95</v>
      </c>
      <c r="N13" s="6" t="n">
        <v>0</v>
      </c>
      <c r="O13" s="6" t="n">
        <v>-265.07</v>
      </c>
      <c r="P13" s="6" t="n">
        <v>-265.07</v>
      </c>
      <c r="Q13" s="6" t="n">
        <v>0</v>
      </c>
      <c r="R13" s="6">
        <f>P13-Q13</f>
        <v/>
      </c>
    </row>
    <row r="14" ht="20" customHeight="1">
      <c r="A14" s="4" t="n">
        <v>10</v>
      </c>
      <c r="B14" s="4" t="inlineStr">
        <is>
          <t>17/02/2026</t>
        </is>
      </c>
      <c r="C14" s="4" t="inlineStr">
        <is>
          <t>02/2026</t>
        </is>
      </c>
      <c r="D14" s="4" t="inlineStr">
        <is>
          <t>ΣΥΝΕΡΓΑΤΗΣ</t>
        </is>
      </c>
      <c r="E14" s="4" t="n">
        <v>2021000340</v>
      </c>
      <c r="F14" s="4" t="n">
        <v>80405097</v>
      </c>
      <c r="G14" s="5" t="inlineStr">
        <is>
          <t>ΚΟΥΠΑΛΟΓΛΟΥ ΑΒΑΠΤΙΣΤΟ</t>
        </is>
      </c>
      <c r="H14" s="4" t="n">
        <v>1</v>
      </c>
      <c r="I14" s="4" t="n">
        <v>6</v>
      </c>
      <c r="J14" s="4" t="n">
        <v>1</v>
      </c>
      <c r="K14" s="6" t="n">
        <v>0</v>
      </c>
      <c r="L14" s="6" t="n">
        <v>359.74</v>
      </c>
      <c r="M14" s="6" t="n">
        <v>359.74</v>
      </c>
      <c r="N14" s="6" t="n">
        <v>0</v>
      </c>
      <c r="O14" s="6" t="n">
        <v>89.94</v>
      </c>
      <c r="P14" s="6" t="n">
        <v>89.94</v>
      </c>
      <c r="Q14" s="6" t="n">
        <v>0</v>
      </c>
      <c r="R14" s="6">
        <f>P14-Q14</f>
        <v/>
      </c>
    </row>
    <row r="15" ht="20" customHeight="1">
      <c r="A15" s="4" t="n">
        <v>11</v>
      </c>
      <c r="B15" s="4" t="inlineStr">
        <is>
          <t>24/02/2026</t>
        </is>
      </c>
      <c r="C15" s="4" t="inlineStr">
        <is>
          <t>03/2026</t>
        </is>
      </c>
      <c r="D15" s="4" t="inlineStr">
        <is>
          <t>AGENCY</t>
        </is>
      </c>
      <c r="E15" s="4" t="n">
        <v>2026000457</v>
      </c>
      <c r="F15" s="4" t="n">
        <v>126592</v>
      </c>
      <c r="G15" s="5" t="inlineStr">
        <is>
          <t>ΜΟΥΛΑΚΑΚΗΣ ΓΡΗΓΟΡΙΟΣ</t>
        </is>
      </c>
      <c r="H15" s="4" t="n">
        <v>1</v>
      </c>
      <c r="I15" s="4" t="n">
        <v>1</v>
      </c>
      <c r="J15" s="4" t="n">
        <v>20</v>
      </c>
      <c r="K15" s="6" t="n">
        <v>390.36</v>
      </c>
      <c r="L15" s="6" t="n">
        <v>483.8</v>
      </c>
      <c r="M15" s="6" t="n">
        <v>874.16</v>
      </c>
      <c r="N15" s="6" t="n">
        <v>19.52</v>
      </c>
      <c r="O15" s="6" t="n">
        <v>28.11</v>
      </c>
      <c r="P15" s="6" t="n">
        <v>47.63</v>
      </c>
      <c r="Q15" s="6" t="n">
        <v>0</v>
      </c>
      <c r="R15" s="6">
        <f>P15-Q15</f>
        <v/>
      </c>
    </row>
    <row r="16" ht="20" customHeight="1">
      <c r="A16" s="4" t="n">
        <v>12</v>
      </c>
      <c r="B16" s="4" t="inlineStr">
        <is>
          <t>24/02/2026</t>
        </is>
      </c>
      <c r="C16" s="4" t="inlineStr">
        <is>
          <t>03/2026</t>
        </is>
      </c>
      <c r="D16" s="4" t="inlineStr">
        <is>
          <t>ΣΥΝΕΡΓΑΤΗΣ</t>
        </is>
      </c>
      <c r="E16" s="4" t="n">
        <v>2026000457</v>
      </c>
      <c r="F16" s="4" t="n">
        <v>126592</v>
      </c>
      <c r="G16" s="5" t="inlineStr">
        <is>
          <t>ΜΟΥΛΑΚΑΚΗΣ ΓΡΗΓΟΡΙΟΣ</t>
        </is>
      </c>
      <c r="H16" s="4" t="n">
        <v>1</v>
      </c>
      <c r="I16" s="4" t="n">
        <v>1</v>
      </c>
      <c r="J16" s="4" t="n">
        <v>20</v>
      </c>
      <c r="K16" s="6" t="n">
        <v>390.36</v>
      </c>
      <c r="L16" s="6" t="n">
        <v>483.8</v>
      </c>
      <c r="M16" s="6" t="n">
        <v>874.16</v>
      </c>
      <c r="N16" s="6" t="n">
        <v>97.59</v>
      </c>
      <c r="O16" s="6" t="n">
        <v>140.52</v>
      </c>
      <c r="P16" s="6" t="n">
        <v>238.11</v>
      </c>
      <c r="Q16" s="6" t="n">
        <v>0</v>
      </c>
      <c r="R16" s="6">
        <f>P16-Q16</f>
        <v/>
      </c>
    </row>
    <row r="17" ht="20" customHeight="1">
      <c r="A17" s="4" t="n">
        <v>13</v>
      </c>
      <c r="B17" s="4" t="inlineStr">
        <is>
          <t>21/03/2026</t>
        </is>
      </c>
      <c r="C17" s="4" t="inlineStr">
        <is>
          <t>03/2026</t>
        </is>
      </c>
      <c r="D17" s="4" t="inlineStr">
        <is>
          <t>ΣΥΝΕΡΓΑΤΗΣ</t>
        </is>
      </c>
      <c r="E17" s="4" t="n">
        <v>296632</v>
      </c>
      <c r="F17" s="4" t="n">
        <v>80409917</v>
      </c>
      <c r="G17" s="5" t="inlineStr">
        <is>
          <t>ΚΟΝΤΟΣ ΚΩΝΣΤΑΝΤΙΝΟΣ</t>
        </is>
      </c>
      <c r="H17" s="4" t="n">
        <v>4</v>
      </c>
      <c r="I17" s="4" t="n">
        <v>27</v>
      </c>
      <c r="J17" s="4" t="n">
        <v>99</v>
      </c>
      <c r="K17" s="6" t="n">
        <v>16.57</v>
      </c>
      <c r="L17" s="6" t="n">
        <v>199.54</v>
      </c>
      <c r="M17" s="6" t="n">
        <v>216.11</v>
      </c>
      <c r="N17" s="6" t="n">
        <v>0</v>
      </c>
      <c r="O17" s="6" t="n">
        <v>0</v>
      </c>
      <c r="P17" s="6" t="n">
        <v>0</v>
      </c>
      <c r="Q17" s="6" t="n">
        <v>0</v>
      </c>
      <c r="R17" s="6">
        <f>P17-Q17</f>
        <v/>
      </c>
    </row>
    <row r="18" ht="20" customHeight="1">
      <c r="A18" s="4" t="n">
        <v>14</v>
      </c>
      <c r="B18" s="4" t="inlineStr">
        <is>
          <t>27/03/2026</t>
        </is>
      </c>
      <c r="C18" s="4" t="inlineStr">
        <is>
          <t>03/2026</t>
        </is>
      </c>
      <c r="D18" s="4" t="inlineStr">
        <is>
          <t>ΣΥΝΕΡΓΑΤΗΣ</t>
        </is>
      </c>
      <c r="E18" s="4" t="n">
        <v>2022005568</v>
      </c>
      <c r="F18" s="4" t="n">
        <v>80410903</v>
      </c>
      <c r="G18" s="5" t="inlineStr">
        <is>
          <t>ΣΑΡΑΦΙΔΟΥ ΕΛΕΝΗ</t>
        </is>
      </c>
      <c r="H18" s="4" t="n">
        <v>2</v>
      </c>
      <c r="I18" s="4" t="n">
        <v>4</v>
      </c>
      <c r="J18" s="4" t="n">
        <v>25</v>
      </c>
      <c r="K18" s="6" t="n">
        <v>63.92</v>
      </c>
      <c r="L18" s="6" t="n">
        <v>8.970000000000001</v>
      </c>
      <c r="M18" s="6" t="n">
        <v>72.89</v>
      </c>
      <c r="N18" s="6" t="n">
        <v>3.76</v>
      </c>
      <c r="O18" s="6" t="n">
        <v>2.42</v>
      </c>
      <c r="P18" s="6" t="n">
        <v>6.18</v>
      </c>
      <c r="Q18" s="6" t="n">
        <v>0</v>
      </c>
      <c r="R18" s="6">
        <f>P18-Q18</f>
        <v/>
      </c>
    </row>
    <row r="19" ht="20" customHeight="1">
      <c r="A19" s="4" t="n">
        <v>15</v>
      </c>
      <c r="B19" s="4" t="inlineStr">
        <is>
          <t>27/03/2026</t>
        </is>
      </c>
      <c r="C19" s="4" t="inlineStr">
        <is>
          <t>03/2026</t>
        </is>
      </c>
      <c r="D19" s="4" t="inlineStr">
        <is>
          <t>AGENCY</t>
        </is>
      </c>
      <c r="E19" s="4" t="n">
        <v>2025001066</v>
      </c>
      <c r="F19" s="4" t="n">
        <v>80410942</v>
      </c>
      <c r="G19" s="5" t="inlineStr">
        <is>
          <t>ΚΑΤΣΙΓΙΑΝΝΑΚΗ ΚΑΛΛΙΟΠΗ</t>
        </is>
      </c>
      <c r="H19" s="4" t="n">
        <v>4</v>
      </c>
      <c r="I19" s="4" t="n">
        <v>1</v>
      </c>
      <c r="J19" s="4" t="n">
        <v>15</v>
      </c>
      <c r="K19" s="6" t="n">
        <v>138.63</v>
      </c>
      <c r="L19" s="6" t="n">
        <v>7</v>
      </c>
      <c r="M19" s="6" t="n">
        <v>145.63</v>
      </c>
      <c r="N19" s="6" t="n">
        <v>3.37</v>
      </c>
      <c r="O19" s="6" t="n">
        <v>0.19</v>
      </c>
      <c r="P19" s="6" t="n">
        <v>3.56</v>
      </c>
      <c r="Q19" s="6" t="n">
        <v>0</v>
      </c>
      <c r="R19" s="6">
        <f>P19-Q19</f>
        <v/>
      </c>
    </row>
    <row r="20" ht="20" customHeight="1">
      <c r="A20" s="4" t="n">
        <v>16</v>
      </c>
      <c r="B20" s="4" t="inlineStr">
        <is>
          <t>30/03/2026</t>
        </is>
      </c>
      <c r="C20" s="4" t="inlineStr">
        <is>
          <t>03/2026</t>
        </is>
      </c>
      <c r="D20" s="4" t="inlineStr">
        <is>
          <t>AGENCY</t>
        </is>
      </c>
      <c r="E20" s="4" t="n">
        <v>2025001836</v>
      </c>
      <c r="F20" s="4" t="n">
        <v>80411824</v>
      </c>
      <c r="G20" s="5" t="inlineStr">
        <is>
          <t>ΣΤΕΡΓΙΟΥ ΑΒΑΠΤΙΣΤΟ</t>
        </is>
      </c>
      <c r="H20" s="4" t="n">
        <v>4</v>
      </c>
      <c r="I20" s="4" t="n">
        <v>1</v>
      </c>
      <c r="J20" s="4" t="n">
        <v>1</v>
      </c>
      <c r="K20" s="6" t="n">
        <v>0</v>
      </c>
      <c r="L20" s="6" t="n">
        <v>174.8</v>
      </c>
      <c r="M20" s="6" t="n">
        <v>174.8</v>
      </c>
      <c r="N20" s="6" t="n">
        <v>0</v>
      </c>
      <c r="O20" s="6" t="n">
        <v>9.84</v>
      </c>
      <c r="P20" s="6" t="n">
        <v>9.84</v>
      </c>
      <c r="Q20" s="6" t="n">
        <v>0</v>
      </c>
      <c r="R20" s="6">
        <f>P20-Q20</f>
        <v/>
      </c>
    </row>
    <row r="21" ht="20" customHeight="1">
      <c r="A21" s="4" t="n">
        <v>17</v>
      </c>
      <c r="B21" s="4" t="inlineStr">
        <is>
          <t>05/04/2026</t>
        </is>
      </c>
      <c r="C21" s="4" t="inlineStr">
        <is>
          <t>05/2026</t>
        </is>
      </c>
      <c r="D21" s="4" t="inlineStr">
        <is>
          <t>AGENCY</t>
        </is>
      </c>
      <c r="E21" s="4" t="n">
        <v>2023001613</v>
      </c>
      <c r="F21" s="4" t="n">
        <v>80412743</v>
      </c>
      <c r="G21" s="5" t="inlineStr">
        <is>
          <t>ΤΑΡΑΝΗΣ ΙΓΝΑΤΙΟΣ</t>
        </is>
      </c>
      <c r="H21" s="4" t="n">
        <v>1</v>
      </c>
      <c r="I21" s="4" t="n">
        <v>4</v>
      </c>
      <c r="J21" s="4" t="n">
        <v>1</v>
      </c>
      <c r="K21" s="6" t="n">
        <v>0</v>
      </c>
      <c r="L21" s="6" t="n">
        <v>202.37</v>
      </c>
      <c r="M21" s="6" t="n">
        <v>202.37</v>
      </c>
      <c r="N21" s="6" t="n">
        <v>0</v>
      </c>
      <c r="O21" s="6" t="n">
        <v>10.12</v>
      </c>
      <c r="P21" s="6" t="n">
        <v>10.12</v>
      </c>
      <c r="Q21" s="6" t="n">
        <v>0</v>
      </c>
      <c r="R21" s="6">
        <f>P21-Q21</f>
        <v/>
      </c>
    </row>
    <row r="22" ht="20" customHeight="1">
      <c r="A22" s="4" t="n">
        <v>18</v>
      </c>
      <c r="B22" s="4" t="inlineStr">
        <is>
          <t>05/04/2026</t>
        </is>
      </c>
      <c r="C22" s="4" t="inlineStr">
        <is>
          <t>05/2026</t>
        </is>
      </c>
      <c r="D22" s="4" t="inlineStr">
        <is>
          <t>ΣΥΝΕΡΓΑΤΗΣ</t>
        </is>
      </c>
      <c r="E22" s="4" t="n">
        <v>2023001613</v>
      </c>
      <c r="F22" s="4" t="n">
        <v>80412743</v>
      </c>
      <c r="G22" s="5" t="inlineStr">
        <is>
          <t>ΤΑΡΑΝΗΣ ΙΓΝΑΤΙΟΣ</t>
        </is>
      </c>
      <c r="H22" s="4" t="n">
        <v>1</v>
      </c>
      <c r="I22" s="4" t="n">
        <v>4</v>
      </c>
      <c r="J22" s="4" t="n">
        <v>1</v>
      </c>
      <c r="K22" s="6" t="n">
        <v>0</v>
      </c>
      <c r="L22" s="6" t="n">
        <v>202.37</v>
      </c>
      <c r="M22" s="6" t="n">
        <v>202.37</v>
      </c>
      <c r="N22" s="6" t="n">
        <v>0</v>
      </c>
      <c r="O22" s="6" t="n">
        <v>50.59</v>
      </c>
      <c r="P22" s="6" t="n">
        <v>50.59</v>
      </c>
      <c r="Q22" s="6" t="n">
        <v>0</v>
      </c>
      <c r="R22" s="6">
        <f>P22-Q22</f>
        <v/>
      </c>
    </row>
    <row r="23" ht="20" customHeight="1">
      <c r="A23" s="4" t="n">
        <v>19</v>
      </c>
      <c r="B23" s="4" t="inlineStr">
        <is>
          <t>08/04/2026</t>
        </is>
      </c>
      <c r="C23" s="4" t="inlineStr">
        <is>
          <t>04/2026</t>
        </is>
      </c>
      <c r="D23" s="4" t="inlineStr">
        <is>
          <t>AGENCY</t>
        </is>
      </c>
      <c r="E23" s="4" t="n">
        <v>2026000765</v>
      </c>
      <c r="F23" s="4" t="n">
        <v>126897</v>
      </c>
      <c r="G23" s="5" t="inlineStr">
        <is>
          <t>ΠΑΛΙΑΤΣΑΣ ΑΘΑΝΑΣΙΟΣ</t>
        </is>
      </c>
      <c r="H23" s="4" t="n">
        <v>1</v>
      </c>
      <c r="I23" s="4" t="n">
        <v>1</v>
      </c>
      <c r="J23" s="4" t="n">
        <v>1</v>
      </c>
      <c r="K23" s="6" t="n">
        <v>0</v>
      </c>
      <c r="L23" s="6" t="n">
        <v>666.12</v>
      </c>
      <c r="M23" s="6" t="n">
        <v>666.12</v>
      </c>
      <c r="N23" s="6" t="n">
        <v>0</v>
      </c>
      <c r="O23" s="6" t="n">
        <v>38.63</v>
      </c>
      <c r="P23" s="6" t="n">
        <v>38.63</v>
      </c>
      <c r="Q23" s="6" t="n">
        <v>0</v>
      </c>
      <c r="R23" s="6">
        <f>P23-Q23</f>
        <v/>
      </c>
    </row>
    <row r="24" ht="20" customHeight="1">
      <c r="A24" s="4" t="n">
        <v>20</v>
      </c>
      <c r="B24" s="4" t="inlineStr">
        <is>
          <t>08/04/2026</t>
        </is>
      </c>
      <c r="C24" s="4" t="inlineStr">
        <is>
          <t>04/2026</t>
        </is>
      </c>
      <c r="D24" s="4" t="inlineStr">
        <is>
          <t>ΣΥΝΕΡΓΑΤΗΣ</t>
        </is>
      </c>
      <c r="E24" s="4" t="n">
        <v>2026000765</v>
      </c>
      <c r="F24" s="4" t="n">
        <v>126897</v>
      </c>
      <c r="G24" s="5" t="inlineStr">
        <is>
          <t>ΠΑΛΙΑΤΣΑΣ ΑΘΑΝΑΣΙΟΣ</t>
        </is>
      </c>
      <c r="H24" s="4" t="n">
        <v>1</v>
      </c>
      <c r="I24" s="4" t="n">
        <v>1</v>
      </c>
      <c r="J24" s="4" t="n">
        <v>1</v>
      </c>
      <c r="K24" s="6" t="n">
        <v>0</v>
      </c>
      <c r="L24" s="6" t="n">
        <v>666.12</v>
      </c>
      <c r="M24" s="6" t="n">
        <v>666.12</v>
      </c>
      <c r="N24" s="6" t="n">
        <v>0</v>
      </c>
      <c r="O24" s="6" t="n">
        <v>193.17</v>
      </c>
      <c r="P24" s="6" t="n">
        <v>193.17</v>
      </c>
      <c r="Q24" s="6" t="n">
        <v>0</v>
      </c>
      <c r="R24" s="6">
        <f>P24-Q24</f>
        <v/>
      </c>
    </row>
    <row r="25" ht="20" customHeight="1">
      <c r="A25" s="4" t="n">
        <v>21</v>
      </c>
      <c r="B25" s="4" t="inlineStr">
        <is>
          <t>27/04/2026</t>
        </is>
      </c>
      <c r="C25" s="4" t="inlineStr">
        <is>
          <t>04/2026</t>
        </is>
      </c>
      <c r="D25" s="4" t="inlineStr">
        <is>
          <t>AGENCY</t>
        </is>
      </c>
      <c r="E25" s="4" t="n">
        <v>2026000161</v>
      </c>
      <c r="F25" s="4" t="n">
        <v>80415871</v>
      </c>
      <c r="G25" s="5" t="inlineStr">
        <is>
          <t>ΤΕΖΚΟΣΑΡ ΑΓΛΑΙΑ</t>
        </is>
      </c>
      <c r="H25" s="4" t="n">
        <v>4</v>
      </c>
      <c r="I25" s="4" t="n">
        <v>1</v>
      </c>
      <c r="J25" s="4" t="n">
        <v>1</v>
      </c>
      <c r="K25" s="6" t="n">
        <v>0</v>
      </c>
      <c r="L25" s="6" t="n">
        <v>414.55</v>
      </c>
      <c r="M25" s="6" t="n">
        <v>414.55</v>
      </c>
      <c r="N25" s="6" t="n">
        <v>0</v>
      </c>
      <c r="O25" s="6" t="n">
        <v>23.24</v>
      </c>
      <c r="P25" s="6" t="n">
        <v>23.24</v>
      </c>
      <c r="Q25" s="6" t="n">
        <v>0</v>
      </c>
      <c r="R25" s="6">
        <f>P25-Q25</f>
        <v/>
      </c>
    </row>
    <row r="26" ht="20" customHeight="1">
      <c r="A26" s="4" t="n">
        <v>22</v>
      </c>
      <c r="B26" s="4" t="inlineStr">
        <is>
          <t>27/04/2026</t>
        </is>
      </c>
      <c r="C26" s="4" t="inlineStr">
        <is>
          <t>04/2026</t>
        </is>
      </c>
      <c r="D26" s="4" t="inlineStr">
        <is>
          <t>ΣΥΝΕΡΓΑΤΗΣ</t>
        </is>
      </c>
      <c r="E26" s="4" t="n">
        <v>2026000161</v>
      </c>
      <c r="F26" s="4" t="n">
        <v>80415871</v>
      </c>
      <c r="G26" s="5" t="inlineStr">
        <is>
          <t>ΤΕΖΚΟΣΑΡ ΑΓΛΑΙΑ</t>
        </is>
      </c>
      <c r="H26" s="4" t="n">
        <v>4</v>
      </c>
      <c r="I26" s="4" t="n">
        <v>1</v>
      </c>
      <c r="J26" s="4" t="n">
        <v>1</v>
      </c>
      <c r="K26" s="6" t="n">
        <v>0</v>
      </c>
      <c r="L26" s="6" t="n">
        <v>414.55</v>
      </c>
      <c r="M26" s="6" t="n">
        <v>414.55</v>
      </c>
      <c r="N26" s="6" t="n">
        <v>0</v>
      </c>
      <c r="O26" s="6" t="n">
        <v>116.18</v>
      </c>
      <c r="P26" s="6" t="n">
        <v>116.18</v>
      </c>
      <c r="Q26" s="6" t="n">
        <v>0</v>
      </c>
      <c r="R26" s="6">
        <f>P26-Q26</f>
        <v/>
      </c>
    </row>
    <row r="27" ht="20" customHeight="1">
      <c r="A27" s="4" t="n">
        <v>23</v>
      </c>
      <c r="B27" s="4" t="inlineStr">
        <is>
          <t>21/06/2026</t>
        </is>
      </c>
      <c r="C27" s="4" t="inlineStr">
        <is>
          <t>06/2026</t>
        </is>
      </c>
      <c r="D27" s="4" t="inlineStr">
        <is>
          <t>ΣΥΝΕΡΓΑΤΗΣ</t>
        </is>
      </c>
      <c r="E27" s="4" t="n">
        <v>296632</v>
      </c>
      <c r="F27" s="4" t="n">
        <v>80424650</v>
      </c>
      <c r="G27" s="5" t="inlineStr">
        <is>
          <t>ΚΟΝΤΟΣ ΚΩΝΣΤΑΝΤΙΝΟΣ</t>
        </is>
      </c>
      <c r="H27" s="4" t="n">
        <v>4</v>
      </c>
      <c r="I27" s="4" t="n">
        <v>28</v>
      </c>
      <c r="J27" s="4" t="n">
        <v>99</v>
      </c>
      <c r="K27" s="6" t="n">
        <v>16.57</v>
      </c>
      <c r="L27" s="6" t="n">
        <v>222.37</v>
      </c>
      <c r="M27" s="6" t="n">
        <v>238.94</v>
      </c>
      <c r="N27" s="6" t="n">
        <v>0</v>
      </c>
      <c r="O27" s="6" t="n">
        <v>0</v>
      </c>
      <c r="P27" s="6" t="n">
        <v>0</v>
      </c>
      <c r="Q27" s="6" t="n">
        <v>0</v>
      </c>
      <c r="R27" s="6">
        <f>P27-Q27</f>
        <v/>
      </c>
    </row>
    <row r="28" ht="20" customHeight="1">
      <c r="A28" s="4" t="n">
        <v>24</v>
      </c>
      <c r="B28" s="4" t="inlineStr">
        <is>
          <t>27/06/2026</t>
        </is>
      </c>
      <c r="C28" s="4" t="inlineStr">
        <is>
          <t>07/2026</t>
        </is>
      </c>
      <c r="D28" s="4" t="inlineStr">
        <is>
          <t>AGENCY</t>
        </is>
      </c>
      <c r="E28" s="4" t="n">
        <v>2025001066</v>
      </c>
      <c r="F28" s="4" t="n">
        <v>80425699</v>
      </c>
      <c r="G28" s="5" t="inlineStr">
        <is>
          <t>ΚΑΤΣΙΓΙΑΝΝΑΚΗ ΚΑΛΛΙΟΠΗ</t>
        </is>
      </c>
      <c r="H28" s="4" t="n">
        <v>4</v>
      </c>
      <c r="I28" s="4" t="n">
        <v>2</v>
      </c>
      <c r="J28" s="4" t="n">
        <v>15</v>
      </c>
      <c r="K28" s="6" t="n">
        <v>138.63</v>
      </c>
      <c r="L28" s="6" t="n">
        <v>7</v>
      </c>
      <c r="M28" s="6" t="n">
        <v>145.63</v>
      </c>
      <c r="N28" s="6" t="n">
        <v>2.69</v>
      </c>
      <c r="O28" s="6" t="n">
        <v>0.19</v>
      </c>
      <c r="P28" s="6" t="n">
        <v>2.88</v>
      </c>
      <c r="Q28" s="6" t="n">
        <v>0</v>
      </c>
      <c r="R28" s="6">
        <f>P28-Q28</f>
        <v/>
      </c>
    </row>
    <row r="29" ht="20" customHeight="1">
      <c r="A29" s="4" t="n">
        <v>25</v>
      </c>
      <c r="B29" s="4" t="inlineStr">
        <is>
          <t>30/06/2026</t>
        </is>
      </c>
      <c r="C29" s="4" t="inlineStr">
        <is>
          <t>06/2026</t>
        </is>
      </c>
      <c r="D29" s="4" t="inlineStr">
        <is>
          <t>AGENCY</t>
        </is>
      </c>
      <c r="E29" s="4" t="n">
        <v>2025001836</v>
      </c>
      <c r="F29" s="4" t="n">
        <v>80426820</v>
      </c>
      <c r="G29" s="5" t="inlineStr">
        <is>
          <t>ΣΤΕΡΓΙΟΥ ΑΒΑΠΤΙΣΤΟ</t>
        </is>
      </c>
      <c r="H29" s="4" t="n">
        <v>4</v>
      </c>
      <c r="I29" s="4" t="n">
        <v>1</v>
      </c>
      <c r="J29" s="4" t="n">
        <v>1</v>
      </c>
      <c r="K29" s="6" t="n">
        <v>0</v>
      </c>
      <c r="L29" s="6" t="n">
        <v>174.8</v>
      </c>
      <c r="M29" s="6" t="n">
        <v>174.8</v>
      </c>
      <c r="N29" s="6" t="n">
        <v>0</v>
      </c>
      <c r="O29" s="6" t="n">
        <v>9.84</v>
      </c>
      <c r="P29" s="6" t="n">
        <v>9.84</v>
      </c>
      <c r="Q29" s="6" t="n">
        <v>0</v>
      </c>
      <c r="R29" s="6">
        <f>P29-Q29</f>
        <v/>
      </c>
    </row>
    <row r="30" ht="20" customHeight="1">
      <c r="A30" s="4" t="n">
        <v>26</v>
      </c>
      <c r="B30" s="4" t="inlineStr">
        <is>
          <t>13/07/2026</t>
        </is>
      </c>
      <c r="C30" s="4" t="inlineStr">
        <is>
          <t>07/2026</t>
        </is>
      </c>
      <c r="D30" s="4" t="inlineStr">
        <is>
          <t>AGENCY</t>
        </is>
      </c>
      <c r="E30" s="4" t="n">
        <v>2025000058</v>
      </c>
      <c r="F30" s="4" t="n">
        <v>80428604</v>
      </c>
      <c r="G30" s="5" t="inlineStr">
        <is>
          <t>ΤΣΑΠΡΑΛΗΣ ΚΩΝΣΤΑΝΤΙΝΟΣ</t>
        </is>
      </c>
      <c r="H30" s="4" t="n">
        <v>2</v>
      </c>
      <c r="I30" s="4" t="n">
        <v>2</v>
      </c>
      <c r="J30" s="4" t="n">
        <v>1</v>
      </c>
      <c r="K30" s="6" t="n">
        <v>0</v>
      </c>
      <c r="L30" s="6" t="n">
        <v>322.09</v>
      </c>
      <c r="M30" s="6" t="n">
        <v>322.09</v>
      </c>
      <c r="N30" s="6" t="n">
        <v>0</v>
      </c>
      <c r="O30" s="6" t="n">
        <v>15.79</v>
      </c>
      <c r="P30" s="6" t="n">
        <v>15.79</v>
      </c>
      <c r="Q30" s="6" t="n">
        <v>0</v>
      </c>
      <c r="R30" s="6">
        <f>P30-Q30</f>
        <v/>
      </c>
    </row>
    <row r="31" ht="20" customHeight="1">
      <c r="A31" s="4" t="n">
        <v>27</v>
      </c>
      <c r="B31" s="4" t="inlineStr">
        <is>
          <t>27/07/2026</t>
        </is>
      </c>
      <c r="C31" s="4" t="inlineStr">
        <is>
          <t>07/2026</t>
        </is>
      </c>
      <c r="D31" s="4" t="inlineStr">
        <is>
          <t>AGENCY</t>
        </is>
      </c>
      <c r="E31" s="4" t="n">
        <v>2026000161</v>
      </c>
      <c r="F31" s="4" t="n">
        <v>80430703</v>
      </c>
      <c r="G31" s="5" t="inlineStr">
        <is>
          <t>ΤΕΖΚΟΣΑΡ ΑΓΛΑΙΑ</t>
        </is>
      </c>
      <c r="H31" s="4" t="n">
        <v>4</v>
      </c>
      <c r="I31" s="4" t="n">
        <v>1</v>
      </c>
      <c r="J31" s="4" t="n">
        <v>1</v>
      </c>
      <c r="K31" s="6" t="n">
        <v>0</v>
      </c>
      <c r="L31" s="6" t="n">
        <v>414.55</v>
      </c>
      <c r="M31" s="6" t="n">
        <v>414.55</v>
      </c>
      <c r="N31" s="6" t="n">
        <v>0</v>
      </c>
      <c r="O31" s="6" t="n">
        <v>23.24</v>
      </c>
      <c r="P31" s="6" t="n">
        <v>23.24</v>
      </c>
      <c r="Q31" s="6" t="n">
        <v>0</v>
      </c>
      <c r="R31" s="6">
        <f>P31-Q31</f>
        <v/>
      </c>
    </row>
    <row r="32" ht="20" customHeight="1">
      <c r="A32" s="4" t="n">
        <v>28</v>
      </c>
      <c r="B32" s="4" t="inlineStr">
        <is>
          <t>27/07/2026</t>
        </is>
      </c>
      <c r="C32" s="4" t="inlineStr">
        <is>
          <t>07/2026</t>
        </is>
      </c>
      <c r="D32" s="4" t="inlineStr">
        <is>
          <t>ΣΥΝΕΡΓΑΤΗΣ</t>
        </is>
      </c>
      <c r="E32" s="4" t="n">
        <v>2026000161</v>
      </c>
      <c r="F32" s="4" t="n">
        <v>80430703</v>
      </c>
      <c r="G32" s="5" t="inlineStr">
        <is>
          <t>ΤΕΖΚΟΣΑΡ ΑΓΛΑΙΑ</t>
        </is>
      </c>
      <c r="H32" s="4" t="n">
        <v>4</v>
      </c>
      <c r="I32" s="4" t="n">
        <v>1</v>
      </c>
      <c r="J32" s="4" t="n">
        <v>1</v>
      </c>
      <c r="K32" s="6" t="n">
        <v>0</v>
      </c>
      <c r="L32" s="6" t="n">
        <v>414.55</v>
      </c>
      <c r="M32" s="6" t="n">
        <v>414.55</v>
      </c>
      <c r="N32" s="6" t="n">
        <v>0</v>
      </c>
      <c r="O32" s="6" t="n">
        <v>116.18</v>
      </c>
      <c r="P32" s="6" t="n">
        <v>116.18</v>
      </c>
      <c r="Q32" s="6" t="n">
        <v>0</v>
      </c>
      <c r="R32" s="6">
        <f>P32-Q32</f>
        <v/>
      </c>
    </row>
    <row r="33" ht="24" customHeight="1">
      <c r="G33" s="7" t="inlineStr">
        <is>
          <t>ΣΥΝΟΛΑ:</t>
        </is>
      </c>
      <c r="K33" s="8">
        <f>SUM(K5:K32)</f>
        <v/>
      </c>
      <c r="L33" s="8">
        <f>SUM(L5:L32)</f>
        <v/>
      </c>
      <c r="M33" s="8">
        <f>SUM(M5:M32)</f>
        <v/>
      </c>
      <c r="N33" s="8">
        <f>SUM(N5:N32)</f>
        <v/>
      </c>
      <c r="O33" s="8">
        <f>SUM(O5:O32)</f>
        <v/>
      </c>
      <c r="P33" s="8">
        <f>SUM(P5:P32)</f>
        <v/>
      </c>
      <c r="Q33" s="8">
        <f>SUM(Q5:Q32)</f>
        <v/>
      </c>
      <c r="R33" s="8">
        <f>SUM(R5:R32)</f>
        <v/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22" customWidth="1" min="4" max="4"/>
    <col width="26" customWidth="1" min="5" max="5"/>
    <col width="22" customWidth="1" min="6" max="6"/>
    <col width="24" customWidth="1" min="7" max="7"/>
    <col width="22" customWidth="1" min="8" max="8"/>
  </cols>
  <sheetData>
    <row r="1" ht="36" customHeight="1">
      <c r="A1" s="1" t="inlineStr">
        <is>
          <t>ERGO - ΜΗΝΙΑΙΑ ΠΟΣΟΣΤΑ &amp; ΠΟΣΑ ΣΥΝΕΡΓΑΤΗ &amp; AGENCY (02/2026 - 07/2026)</t>
        </is>
      </c>
    </row>
    <row r="2" ht="20" customHeight="1">
      <c r="A2" s="2" t="inlineStr">
        <is>
          <t>Ανακεφαλαίωση καθαρών ασφαλίστρων, ποσών &amp; ποσοστών προμηθειών ανά μήνα</t>
        </is>
      </c>
    </row>
    <row r="4" ht="28" customHeight="1">
      <c r="A4" s="3" t="inlineStr">
        <is>
          <t>Μήνας Εκκαθάρισης</t>
        </is>
      </c>
      <c r="B4" s="3" t="inlineStr">
        <is>
          <t>Καθαρά Ασφάλιστρα (€)</t>
        </is>
      </c>
      <c r="C4" s="3" t="inlineStr">
        <is>
          <t>Προμήθεια Συνεργάτη (€)</t>
        </is>
      </c>
      <c r="D4" s="3" t="inlineStr">
        <is>
          <t>Ποσοστό Συνεργάτη (%)</t>
        </is>
      </c>
      <c r="E4" s="3" t="inlineStr">
        <is>
          <t>Override Agency (€)</t>
        </is>
      </c>
      <c r="F4" s="3" t="inlineStr">
        <is>
          <t>Ποσοστό Agency (%)</t>
        </is>
      </c>
      <c r="G4" s="3" t="inlineStr">
        <is>
          <t>Σύνολο Αμοιβών (€)</t>
        </is>
      </c>
      <c r="H4" s="3" t="inlineStr">
        <is>
          <t>Συνολικό Ποσοστό (%)</t>
        </is>
      </c>
    </row>
    <row r="5" ht="22" customHeight="1">
      <c r="A5" s="9" t="inlineStr">
        <is>
          <t>02/2026</t>
        </is>
      </c>
      <c r="B5" s="6">
        <f>SUMIFS('Εκκαθαρίσεις ανά Ημερομηνία'!M5:M32, 'Εκκαθαρίσεις ανά Ημερομηνία'!C5:C32, "02/2026", 'Εκκαθαρίσεις ανά Ημερομηνία'!D5:D32, "ΣΥΝΕΡΓΑΤΗΣ") + IF(COUNTIFS('Εκκαθαρίσεις ανά Ημερομηνία'!C5:C32, "02/2026", 'Εκκαθαρίσεις ανά Ημερομηνία'!D5:D32, "ΣΥΝΕΡΓΑΤΗΣ")=0, SUMIFS('Εκκαθαρίσεις ανά Ημερομηνία'!M5:M32, 'Εκκαθαρίσεις ανά Ημερομηνία'!C5:C32, "02/2026"), 0)</f>
        <v/>
      </c>
      <c r="C5" s="6">
        <f>SUMIFS('Εκκαθαρίσεις ανά Ημερομηνία'!P5:P32, 'Εκκαθαρίσεις ανά Ημερομηνία'!C5:C32, "02/2026", 'Εκκαθαρίσεις ανά Ημερομηνία'!D5:D32, "ΣΥΝΕΡΓΑΤΗΣ")</f>
        <v/>
      </c>
      <c r="D5" s="10">
        <f>IF(B5&gt;0, C5/B5, 0)</f>
        <v/>
      </c>
      <c r="E5" s="6">
        <f>SUMIFS('Εκκαθαρίσεις ανά Ημερομηνία'!P5:P32, 'Εκκαθαρίσεις ανά Ημερομηνία'!C5:C32, "02/2026", 'Εκκαθαρίσεις ανά Ημερομηνία'!D5:D32, "AGENCY")</f>
        <v/>
      </c>
      <c r="F5" s="10">
        <f>IF(B5&gt;0, E5/B5, 0)</f>
        <v/>
      </c>
      <c r="G5" s="11">
        <f>C5+E5</f>
        <v/>
      </c>
      <c r="H5" s="10">
        <f>IF(B5&gt;0, G5/B5, 0)</f>
        <v/>
      </c>
    </row>
    <row r="6" ht="22" customHeight="1">
      <c r="A6" s="9" t="inlineStr">
        <is>
          <t>03/2026</t>
        </is>
      </c>
      <c r="B6" s="6">
        <f>SUMIFS('Εκκαθαρίσεις ανά Ημερομηνία'!M5:M32, 'Εκκαθαρίσεις ανά Ημερομηνία'!C5:C32, "03/2026", 'Εκκαθαρίσεις ανά Ημερομηνία'!D5:D32, "ΣΥΝΕΡΓΑΤΗΣ") + IF(COUNTIFS('Εκκαθαρίσεις ανά Ημερομηνία'!C5:C32, "03/2026", 'Εκκαθαρίσεις ανά Ημερομηνία'!D5:D32, "ΣΥΝΕΡΓΑΤΗΣ")=0, SUMIFS('Εκκαθαρίσεις ανά Ημερομηνία'!M5:M32, 'Εκκαθαρίσεις ανά Ημερομηνία'!C5:C32, "03/2026"), 0)</f>
        <v/>
      </c>
      <c r="C6" s="6">
        <f>SUMIFS('Εκκαθαρίσεις ανά Ημερομηνία'!P5:P32, 'Εκκαθαρίσεις ανά Ημερομηνία'!C5:C32, "03/2026", 'Εκκαθαρίσεις ανά Ημερομηνία'!D5:D32, "ΣΥΝΕΡΓΑΤΗΣ")</f>
        <v/>
      </c>
      <c r="D6" s="10">
        <f>IF(B6&gt;0, C6/B6, 0)</f>
        <v/>
      </c>
      <c r="E6" s="6">
        <f>SUMIFS('Εκκαθαρίσεις ανά Ημερομηνία'!P5:P32, 'Εκκαθαρίσεις ανά Ημερομηνία'!C5:C32, "03/2026", 'Εκκαθαρίσεις ανά Ημερομηνία'!D5:D32, "AGENCY")</f>
        <v/>
      </c>
      <c r="F6" s="10">
        <f>IF(B6&gt;0, E6/B6, 0)</f>
        <v/>
      </c>
      <c r="G6" s="11">
        <f>C6+E6</f>
        <v/>
      </c>
      <c r="H6" s="10">
        <f>IF(B6&gt;0, G6/B6, 0)</f>
        <v/>
      </c>
    </row>
    <row r="7" ht="22" customHeight="1">
      <c r="A7" s="9" t="inlineStr">
        <is>
          <t>04/2026</t>
        </is>
      </c>
      <c r="B7" s="6">
        <f>SUMIFS('Εκκαθαρίσεις ανά Ημερομηνία'!M5:M32, 'Εκκαθαρίσεις ανά Ημερομηνία'!C5:C32, "04/2026", 'Εκκαθαρίσεις ανά Ημερομηνία'!D5:D32, "ΣΥΝΕΡΓΑΤΗΣ") + IF(COUNTIFS('Εκκαθαρίσεις ανά Ημερομηνία'!C5:C32, "04/2026", 'Εκκαθαρίσεις ανά Ημερομηνία'!D5:D32, "ΣΥΝΕΡΓΑΤΗΣ")=0, SUMIFS('Εκκαθαρίσεις ανά Ημερομηνία'!M5:M32, 'Εκκαθαρίσεις ανά Ημερομηνία'!C5:C32, "04/2026"), 0)</f>
        <v/>
      </c>
      <c r="C7" s="6">
        <f>SUMIFS('Εκκαθαρίσεις ανά Ημερομηνία'!P5:P32, 'Εκκαθαρίσεις ανά Ημερομηνία'!C5:C32, "04/2026", 'Εκκαθαρίσεις ανά Ημερομηνία'!D5:D32, "ΣΥΝΕΡΓΑΤΗΣ")</f>
        <v/>
      </c>
      <c r="D7" s="10">
        <f>IF(B7&gt;0, C7/B7, 0)</f>
        <v/>
      </c>
      <c r="E7" s="6">
        <f>SUMIFS('Εκκαθαρίσεις ανά Ημερομηνία'!P5:P32, 'Εκκαθαρίσεις ανά Ημερομηνία'!C5:C32, "04/2026", 'Εκκαθαρίσεις ανά Ημερομηνία'!D5:D32, "AGENCY")</f>
        <v/>
      </c>
      <c r="F7" s="10">
        <f>IF(B7&gt;0, E7/B7, 0)</f>
        <v/>
      </c>
      <c r="G7" s="11">
        <f>C7+E7</f>
        <v/>
      </c>
      <c r="H7" s="10">
        <f>IF(B7&gt;0, G7/B7, 0)</f>
        <v/>
      </c>
    </row>
    <row r="8" ht="22" customHeight="1">
      <c r="A8" s="9" t="inlineStr">
        <is>
          <t>05/2026</t>
        </is>
      </c>
      <c r="B8" s="6">
        <f>SUMIFS('Εκκαθαρίσεις ανά Ημερομηνία'!M5:M32, 'Εκκαθαρίσεις ανά Ημερομηνία'!C5:C32, "05/2026", 'Εκκαθαρίσεις ανά Ημερομηνία'!D5:D32, "ΣΥΝΕΡΓΑΤΗΣ") + IF(COUNTIFS('Εκκαθαρίσεις ανά Ημερομηνία'!C5:C32, "05/2026", 'Εκκαθαρίσεις ανά Ημερομηνία'!D5:D32, "ΣΥΝΕΡΓΑΤΗΣ")=0, SUMIFS('Εκκαθαρίσεις ανά Ημερομηνία'!M5:M32, 'Εκκαθαρίσεις ανά Ημερομηνία'!C5:C32, "05/2026"), 0)</f>
        <v/>
      </c>
      <c r="C8" s="6">
        <f>SUMIFS('Εκκαθαρίσεις ανά Ημερομηνία'!P5:P32, 'Εκκαθαρίσεις ανά Ημερομηνία'!C5:C32, "05/2026", 'Εκκαθαρίσεις ανά Ημερομηνία'!D5:D32, "ΣΥΝΕΡΓΑΤΗΣ")</f>
        <v/>
      </c>
      <c r="D8" s="10">
        <f>IF(B8&gt;0, C8/B8, 0)</f>
        <v/>
      </c>
      <c r="E8" s="6">
        <f>SUMIFS('Εκκαθαρίσεις ανά Ημερομηνία'!P5:P32, 'Εκκαθαρίσεις ανά Ημερομηνία'!C5:C32, "05/2026", 'Εκκαθαρίσεις ανά Ημερομηνία'!D5:D32, "AGENCY")</f>
        <v/>
      </c>
      <c r="F8" s="10">
        <f>IF(B8&gt;0, E8/B8, 0)</f>
        <v/>
      </c>
      <c r="G8" s="11">
        <f>C8+E8</f>
        <v/>
      </c>
      <c r="H8" s="10">
        <f>IF(B8&gt;0, G8/B8, 0)</f>
        <v/>
      </c>
    </row>
    <row r="9" ht="22" customHeight="1">
      <c r="A9" s="9" t="inlineStr">
        <is>
          <t>06/2026</t>
        </is>
      </c>
      <c r="B9" s="6">
        <f>SUMIFS('Εκκαθαρίσεις ανά Ημερομηνία'!M5:M32, 'Εκκαθαρίσεις ανά Ημερομηνία'!C5:C32, "06/2026", 'Εκκαθαρίσεις ανά Ημερομηνία'!D5:D32, "ΣΥΝΕΡΓΑΤΗΣ") + IF(COUNTIFS('Εκκαθαρίσεις ανά Ημερομηνία'!C5:C32, "06/2026", 'Εκκαθαρίσεις ανά Ημερομηνία'!D5:D32, "ΣΥΝΕΡΓΑΤΗΣ")=0, SUMIFS('Εκκαθαρίσεις ανά Ημερομηνία'!M5:M32, 'Εκκαθαρίσεις ανά Ημερομηνία'!C5:C32, "06/2026"), 0)</f>
        <v/>
      </c>
      <c r="C9" s="6">
        <f>SUMIFS('Εκκαθαρίσεις ανά Ημερομηνία'!P5:P32, 'Εκκαθαρίσεις ανά Ημερομηνία'!C5:C32, "06/2026", 'Εκκαθαρίσεις ανά Ημερομηνία'!D5:D32, "ΣΥΝΕΡΓΑΤΗΣ")</f>
        <v/>
      </c>
      <c r="D9" s="10">
        <f>IF(B9&gt;0, C9/B9, 0)</f>
        <v/>
      </c>
      <c r="E9" s="6">
        <f>SUMIFS('Εκκαθαρίσεις ανά Ημερομηνία'!P5:P32, 'Εκκαθαρίσεις ανά Ημερομηνία'!C5:C32, "06/2026", 'Εκκαθαρίσεις ανά Ημερομηνία'!D5:D32, "AGENCY")</f>
        <v/>
      </c>
      <c r="F9" s="10">
        <f>IF(B9&gt;0, E9/B9, 0)</f>
        <v/>
      </c>
      <c r="G9" s="11">
        <f>C9+E9</f>
        <v/>
      </c>
      <c r="H9" s="10">
        <f>IF(B9&gt;0, G9/B9, 0)</f>
        <v/>
      </c>
    </row>
    <row r="10" ht="22" customHeight="1">
      <c r="A10" s="9" t="inlineStr">
        <is>
          <t>07/2026</t>
        </is>
      </c>
      <c r="B10" s="6">
        <f>SUMIFS('Εκκαθαρίσεις ανά Ημερομηνία'!M5:M32, 'Εκκαθαρίσεις ανά Ημερομηνία'!C5:C32, "07/2026", 'Εκκαθαρίσεις ανά Ημερομηνία'!D5:D32, "ΣΥΝΕΡΓΑΤΗΣ") + IF(COUNTIFS('Εκκαθαρίσεις ανά Ημερομηνία'!C5:C32, "07/2026", 'Εκκαθαρίσεις ανά Ημερομηνία'!D5:D32, "ΣΥΝΕΡΓΑΤΗΣ")=0, SUMIFS('Εκκαθαρίσεις ανά Ημερομηνία'!M5:M32, 'Εκκαθαρίσεις ανά Ημερομηνία'!C5:C32, "07/2026"), 0)</f>
        <v/>
      </c>
      <c r="C10" s="6">
        <f>SUMIFS('Εκκαθαρίσεις ανά Ημερομηνία'!P5:P32, 'Εκκαθαρίσεις ανά Ημερομηνία'!C5:C32, "07/2026", 'Εκκαθαρίσεις ανά Ημερομηνία'!D5:D32, "ΣΥΝΕΡΓΑΤΗΣ")</f>
        <v/>
      </c>
      <c r="D10" s="10">
        <f>IF(B10&gt;0, C10/B10, 0)</f>
        <v/>
      </c>
      <c r="E10" s="6">
        <f>SUMIFS('Εκκαθαρίσεις ανά Ημερομηνία'!P5:P32, 'Εκκαθαρίσεις ανά Ημερομηνία'!C5:C32, "07/2026", 'Εκκαθαρίσεις ανά Ημερομηνία'!D5:D32, "AGENCY")</f>
        <v/>
      </c>
      <c r="F10" s="10">
        <f>IF(B10&gt;0, E10/B10, 0)</f>
        <v/>
      </c>
      <c r="G10" s="11">
        <f>C10+E10</f>
        <v/>
      </c>
      <c r="H10" s="10">
        <f>IF(B10&gt;0, G10/B10, 0)</f>
        <v/>
      </c>
    </row>
    <row r="11" ht="24" customHeight="1">
      <c r="A11" s="12" t="inlineStr">
        <is>
          <t>ΣΥΝΟΛΑ:</t>
        </is>
      </c>
      <c r="B11" s="8">
        <f>SUM(B5:B10)</f>
        <v/>
      </c>
      <c r="C11" s="8">
        <f>SUM(C5:C10)</f>
        <v/>
      </c>
      <c r="D11" s="13">
        <f>C11/B11</f>
        <v/>
      </c>
      <c r="E11" s="8">
        <f>SUM(E5:E10)</f>
        <v/>
      </c>
      <c r="F11" s="13">
        <f>E11/B11</f>
        <v/>
      </c>
      <c r="G11" s="8">
        <f>SUM(G5:G10)</f>
        <v/>
      </c>
      <c r="H11" s="13">
        <f>G11/B11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8" customWidth="1" min="4" max="4"/>
    <col width="10" customWidth="1" min="5" max="5"/>
    <col width="22" customWidth="1" min="6" max="6"/>
    <col width="24" customWidth="1" min="7" max="7"/>
    <col width="22" customWidth="1" min="8" max="8"/>
    <col width="24" customWidth="1" min="9" max="9"/>
    <col width="22" customWidth="1" min="10" max="10"/>
    <col width="22" customWidth="1" min="11" max="11"/>
  </cols>
  <sheetData>
    <row r="1" ht="36" customHeight="1">
      <c r="A1" s="1" t="inlineStr">
        <is>
          <t>ERGO - ΑΝΑΛΥΣΗ ΑΜΟΙΒΩΝ &amp; ΠΟΣΟΣΤΩΝ ΑΝΑ ΣΥΜΒΟΛΑΙΟ ΚΑΙ ΑΝΑ ΜΗΝΑ</t>
        </is>
      </c>
    </row>
    <row r="2" ht="20" customHeight="1">
      <c r="A2" s="2" t="inlineStr">
        <is>
          <t>Πλήρης πίνακας δικαιωμάτων Συνεργάτη &amp; Agency ανά συμβόλαιο για κάθε μήνα</t>
        </is>
      </c>
    </row>
    <row r="4" ht="28" customHeight="1">
      <c r="A4" s="3" t="inlineStr">
        <is>
          <t>Μήνας</t>
        </is>
      </c>
      <c r="B4" s="3" t="inlineStr">
        <is>
          <t>Ημερομηνία</t>
        </is>
      </c>
      <c r="C4" s="3" t="inlineStr">
        <is>
          <t>Αρ. Συμβολαίου</t>
        </is>
      </c>
      <c r="D4" s="3" t="inlineStr">
        <is>
          <t>Ονοματεπώνυμο Πελάτη</t>
        </is>
      </c>
      <c r="E4" s="3" t="inlineStr">
        <is>
          <t>Έτος</t>
        </is>
      </c>
      <c r="F4" s="3" t="inlineStr">
        <is>
          <t>Καθαρά Ασφάλιστρα (€)</t>
        </is>
      </c>
      <c r="G4" s="3" t="inlineStr">
        <is>
          <t>Προμήθεια Συνεργάτη (€)</t>
        </is>
      </c>
      <c r="H4" s="3" t="inlineStr">
        <is>
          <t>Ποσοστό Συνεργάτη (%)</t>
        </is>
      </c>
      <c r="I4" s="3" t="inlineStr">
        <is>
          <t>Override Agency (€)</t>
        </is>
      </c>
      <c r="J4" s="3" t="inlineStr">
        <is>
          <t>Ποσοστό Agency (%)</t>
        </is>
      </c>
      <c r="K4" s="3" t="inlineStr">
        <is>
          <t>Σύνολο Αμοιβής (€)</t>
        </is>
      </c>
    </row>
    <row r="5" ht="20" customHeight="1">
      <c r="A5" s="4" t="inlineStr">
        <is>
          <t>02/2026</t>
        </is>
      </c>
      <c r="B5" s="4" t="inlineStr">
        <is>
          <t>29/01/2026</t>
        </is>
      </c>
      <c r="C5" s="4" t="inlineStr">
        <is>
          <t>2026000182</t>
        </is>
      </c>
      <c r="D5" s="5" t="inlineStr">
        <is>
          <t>ΠΑΠΑΔΑΚΗΣ ΦΑΙΔΩΝ</t>
        </is>
      </c>
      <c r="E5" s="4" t="n">
        <v>1</v>
      </c>
      <c r="F5" s="6" t="n">
        <v>896.3</v>
      </c>
      <c r="G5" s="6" t="n">
        <v>0</v>
      </c>
      <c r="H5" s="14">
        <f>IF(F5&gt;0, G5/F5, 0)</f>
        <v/>
      </c>
      <c r="I5" s="6" t="n">
        <v>51.99</v>
      </c>
      <c r="J5" s="14">
        <f>IF(F5&gt;0, I5/F5, 0)</f>
        <v/>
      </c>
      <c r="K5" s="6">
        <f>G5+I5</f>
        <v/>
      </c>
    </row>
    <row r="6" ht="20" customHeight="1">
      <c r="A6" s="4" t="inlineStr">
        <is>
          <t>02/2026</t>
        </is>
      </c>
      <c r="B6" s="4" t="inlineStr">
        <is>
          <t>17/02/2026</t>
        </is>
      </c>
      <c r="C6" s="4" t="inlineStr">
        <is>
          <t>2021000340</t>
        </is>
      </c>
      <c r="D6" s="5" t="inlineStr">
        <is>
          <t>ΚΟΥΠΑΛΟΓΛΟΥ ΑΒΑΠΤΙΣΤΟ</t>
        </is>
      </c>
      <c r="E6" s="4" t="n">
        <v>6</v>
      </c>
      <c r="F6" s="6" t="n">
        <v>359.74</v>
      </c>
      <c r="G6" s="6" t="n">
        <v>89.94</v>
      </c>
      <c r="H6" s="14">
        <f>IF(F6&gt;0, G6/F6, 0)</f>
        <v/>
      </c>
      <c r="I6" s="6" t="n">
        <v>0</v>
      </c>
      <c r="J6" s="14">
        <f>IF(F6&gt;0, I6/F6, 0)</f>
        <v/>
      </c>
      <c r="K6" s="6">
        <f>G6+I6</f>
        <v/>
      </c>
    </row>
    <row r="7" ht="20" customHeight="1">
      <c r="A7" s="4" t="inlineStr">
        <is>
          <t>03/2026</t>
        </is>
      </c>
      <c r="B7" s="4" t="inlineStr">
        <is>
          <t>27/01/2026</t>
        </is>
      </c>
      <c r="C7" s="4" t="inlineStr">
        <is>
          <t>2026000161</t>
        </is>
      </c>
      <c r="D7" s="5" t="inlineStr">
        <is>
          <t>ΤΕΖΚΟΣΑΡ ΑΓΛΑΙΑ</t>
        </is>
      </c>
      <c r="E7" s="4" t="n">
        <v>1</v>
      </c>
      <c r="F7" s="6" t="n">
        <v>414.55</v>
      </c>
      <c r="G7" s="6" t="n">
        <v>116.18</v>
      </c>
      <c r="H7" s="14">
        <f>IF(F7&gt;0, G7/F7, 0)</f>
        <v/>
      </c>
      <c r="I7" s="6" t="n">
        <v>23.24</v>
      </c>
      <c r="J7" s="14">
        <f>IF(F7&gt;0, I7/F7, 0)</f>
        <v/>
      </c>
      <c r="K7" s="6">
        <f>G7+I7</f>
        <v/>
      </c>
    </row>
    <row r="8" ht="20" customHeight="1">
      <c r="A8" s="4" t="inlineStr">
        <is>
          <t>03/2026</t>
        </is>
      </c>
      <c r="B8" s="4" t="inlineStr">
        <is>
          <t>14/02/2026</t>
        </is>
      </c>
      <c r="C8" s="4" t="inlineStr">
        <is>
          <t>2025000256</t>
        </is>
      </c>
      <c r="D8" s="5" t="inlineStr">
        <is>
          <t>ΒΑΒΑΤΣΙΚΟΣ ΔΗΜΗΤΡΙΟΣ</t>
        </is>
      </c>
      <c r="E8" s="4" t="n">
        <v>2</v>
      </c>
      <c r="F8" s="6" t="n">
        <v>0</v>
      </c>
      <c r="G8" s="6" t="n">
        <v>0</v>
      </c>
      <c r="H8" s="14">
        <f>IF(F8&gt;0, G8/F8, 0)</f>
        <v/>
      </c>
      <c r="I8" s="6" t="n">
        <v>0</v>
      </c>
      <c r="J8" s="14">
        <f>IF(F8&gt;0, I8/F8, 0)</f>
        <v/>
      </c>
      <c r="K8" s="6">
        <f>G8+I8</f>
        <v/>
      </c>
    </row>
    <row r="9" ht="20" customHeight="1">
      <c r="A9" s="4" t="inlineStr">
        <is>
          <t>03/2026</t>
        </is>
      </c>
      <c r="B9" s="4" t="inlineStr">
        <is>
          <t>24/02/2026</t>
        </is>
      </c>
      <c r="C9" s="4" t="inlineStr">
        <is>
          <t>2026000457</t>
        </is>
      </c>
      <c r="D9" s="5" t="inlineStr">
        <is>
          <t>ΜΟΥΛΑΚΑΚΗΣ ΓΡΗΓΟΡΙΟΣ</t>
        </is>
      </c>
      <c r="E9" s="4" t="n">
        <v>1</v>
      </c>
      <c r="F9" s="6" t="n">
        <v>874.16</v>
      </c>
      <c r="G9" s="6" t="n">
        <v>238.11</v>
      </c>
      <c r="H9" s="14">
        <f>IF(F9&gt;0, G9/F9, 0)</f>
        <v/>
      </c>
      <c r="I9" s="6" t="n">
        <v>47.63</v>
      </c>
      <c r="J9" s="14">
        <f>IF(F9&gt;0, I9/F9, 0)</f>
        <v/>
      </c>
      <c r="K9" s="6">
        <f>G9+I9</f>
        <v/>
      </c>
    </row>
    <row r="10" ht="20" customHeight="1">
      <c r="A10" s="4" t="inlineStr">
        <is>
          <t>03/2026</t>
        </is>
      </c>
      <c r="B10" s="4" t="inlineStr">
        <is>
          <t>21/03/2026</t>
        </is>
      </c>
      <c r="C10" s="4" t="inlineStr">
        <is>
          <t>296632</t>
        </is>
      </c>
      <c r="D10" s="5" t="inlineStr">
        <is>
          <t>ΚΟΝΤΟΣ ΚΩΝΣΤΑΝΤΙΝΟΣ</t>
        </is>
      </c>
      <c r="E10" s="4" t="n">
        <v>27</v>
      </c>
      <c r="F10" s="6" t="n">
        <v>216.11</v>
      </c>
      <c r="G10" s="6" t="n">
        <v>0</v>
      </c>
      <c r="H10" s="14">
        <f>IF(F10&gt;0, G10/F10, 0)</f>
        <v/>
      </c>
      <c r="I10" s="6" t="n">
        <v>0</v>
      </c>
      <c r="J10" s="14">
        <f>IF(F10&gt;0, I10/F10, 0)</f>
        <v/>
      </c>
      <c r="K10" s="6">
        <f>G10+I10</f>
        <v/>
      </c>
    </row>
    <row r="11" ht="20" customHeight="1">
      <c r="A11" s="4" t="inlineStr">
        <is>
          <t>03/2026</t>
        </is>
      </c>
      <c r="B11" s="4" t="inlineStr">
        <is>
          <t>27/03/2026</t>
        </is>
      </c>
      <c r="C11" s="4" t="inlineStr">
        <is>
          <t>2022005568</t>
        </is>
      </c>
      <c r="D11" s="5" t="inlineStr">
        <is>
          <t>ΣΑΡΑΦΙΔΟΥ ΕΛΕΝΗ</t>
        </is>
      </c>
      <c r="E11" s="4" t="n">
        <v>4</v>
      </c>
      <c r="F11" s="6" t="n">
        <v>72.89</v>
      </c>
      <c r="G11" s="6" t="n">
        <v>6.18</v>
      </c>
      <c r="H11" s="14">
        <f>IF(F11&gt;0, G11/F11, 0)</f>
        <v/>
      </c>
      <c r="I11" s="6" t="n">
        <v>0</v>
      </c>
      <c r="J11" s="14">
        <f>IF(F11&gt;0, I11/F11, 0)</f>
        <v/>
      </c>
      <c r="K11" s="6">
        <f>G11+I11</f>
        <v/>
      </c>
    </row>
    <row r="12" ht="20" customHeight="1">
      <c r="A12" s="4" t="inlineStr">
        <is>
          <t>03/2026</t>
        </is>
      </c>
      <c r="B12" s="4" t="inlineStr">
        <is>
          <t>27/03/2026</t>
        </is>
      </c>
      <c r="C12" s="4" t="inlineStr">
        <is>
          <t>2025001066</t>
        </is>
      </c>
      <c r="D12" s="5" t="inlineStr">
        <is>
          <t>ΚΑΤΣΙΓΙΑΝΝΑΚΗ ΚΑΛΛΙΟΠΗ</t>
        </is>
      </c>
      <c r="E12" s="4" t="n">
        <v>1</v>
      </c>
      <c r="F12" s="6" t="n">
        <v>145.63</v>
      </c>
      <c r="G12" s="6" t="n">
        <v>0</v>
      </c>
      <c r="H12" s="14">
        <f>IF(F12&gt;0, G12/F12, 0)</f>
        <v/>
      </c>
      <c r="I12" s="6" t="n">
        <v>3.56</v>
      </c>
      <c r="J12" s="14">
        <f>IF(F12&gt;0, I12/F12, 0)</f>
        <v/>
      </c>
      <c r="K12" s="6">
        <f>G12+I12</f>
        <v/>
      </c>
    </row>
    <row r="13" ht="20" customHeight="1">
      <c r="A13" s="4" t="inlineStr">
        <is>
          <t>03/2026</t>
        </is>
      </c>
      <c r="B13" s="4" t="inlineStr">
        <is>
          <t>30/03/2026</t>
        </is>
      </c>
      <c r="C13" s="4" t="inlineStr">
        <is>
          <t>2025001836</t>
        </is>
      </c>
      <c r="D13" s="5" t="inlineStr">
        <is>
          <t>ΣΤΕΡΓΙΟΥ ΑΒΑΠΤΙΣΤΟ</t>
        </is>
      </c>
      <c r="E13" s="4" t="n">
        <v>1</v>
      </c>
      <c r="F13" s="6" t="n">
        <v>174.8</v>
      </c>
      <c r="G13" s="6" t="n">
        <v>0</v>
      </c>
      <c r="H13" s="14">
        <f>IF(F13&gt;0, G13/F13, 0)</f>
        <v/>
      </c>
      <c r="I13" s="6" t="n">
        <v>9.84</v>
      </c>
      <c r="J13" s="14">
        <f>IF(F13&gt;0, I13/F13, 0)</f>
        <v/>
      </c>
      <c r="K13" s="6">
        <f>G13+I13</f>
        <v/>
      </c>
    </row>
    <row r="14" ht="20" customHeight="1">
      <c r="A14" s="4" t="inlineStr">
        <is>
          <t>04/2026</t>
        </is>
      </c>
      <c r="B14" s="4" t="inlineStr">
        <is>
          <t>02/02/2026</t>
        </is>
      </c>
      <c r="C14" s="4" t="inlineStr">
        <is>
          <t>2026000210</t>
        </is>
      </c>
      <c r="D14" s="5" t="inlineStr">
        <is>
          <t>ΜΟΥΛΑΚΑΚΗΣ ΓΡΗΓΟΡΙΟΣ</t>
        </is>
      </c>
      <c r="E14" s="4" t="n">
        <v>1</v>
      </c>
      <c r="F14" s="6" t="n">
        <v>0</v>
      </c>
      <c r="G14" s="6" t="n">
        <v>0</v>
      </c>
      <c r="H14" s="14">
        <f>IF(F14&gt;0, G14/F14, 0)</f>
        <v/>
      </c>
      <c r="I14" s="6" t="n">
        <v>0</v>
      </c>
      <c r="J14" s="14">
        <f>IF(F14&gt;0, I14/F14, 0)</f>
        <v/>
      </c>
      <c r="K14" s="6">
        <f>G14+I14</f>
        <v/>
      </c>
    </row>
    <row r="15" ht="20" customHeight="1">
      <c r="A15" s="4" t="inlineStr">
        <is>
          <t>04/2026</t>
        </is>
      </c>
      <c r="B15" s="4" t="inlineStr">
        <is>
          <t>08/04/2026</t>
        </is>
      </c>
      <c r="C15" s="4" t="inlineStr">
        <is>
          <t>2026000765</t>
        </is>
      </c>
      <c r="D15" s="5" t="inlineStr">
        <is>
          <t>ΠΑΛΙΑΤΣΑΣ ΑΘΑΝΑΣΙΟΣ</t>
        </is>
      </c>
      <c r="E15" s="4" t="n">
        <v>1</v>
      </c>
      <c r="F15" s="6" t="n">
        <v>666.12</v>
      </c>
      <c r="G15" s="6" t="n">
        <v>193.17</v>
      </c>
      <c r="H15" s="14">
        <f>IF(F15&gt;0, G15/F15, 0)</f>
        <v/>
      </c>
      <c r="I15" s="6" t="n">
        <v>38.63</v>
      </c>
      <c r="J15" s="14">
        <f>IF(F15&gt;0, I15/F15, 0)</f>
        <v/>
      </c>
      <c r="K15" s="6">
        <f>G15+I15</f>
        <v/>
      </c>
    </row>
    <row r="16" ht="20" customHeight="1">
      <c r="A16" s="4" t="inlineStr">
        <is>
          <t>04/2026</t>
        </is>
      </c>
      <c r="B16" s="4" t="inlineStr">
        <is>
          <t>27/04/2026</t>
        </is>
      </c>
      <c r="C16" s="4" t="inlineStr">
        <is>
          <t>2026000161</t>
        </is>
      </c>
      <c r="D16" s="5" t="inlineStr">
        <is>
          <t>ΤΕΖΚΟΣΑΡ ΑΓΛΑΙΑ</t>
        </is>
      </c>
      <c r="E16" s="4" t="n">
        <v>1</v>
      </c>
      <c r="F16" s="6" t="n">
        <v>414.55</v>
      </c>
      <c r="G16" s="6" t="n">
        <v>116.18</v>
      </c>
      <c r="H16" s="14">
        <f>IF(F16&gt;0, G16/F16, 0)</f>
        <v/>
      </c>
      <c r="I16" s="6" t="n">
        <v>23.24</v>
      </c>
      <c r="J16" s="14">
        <f>IF(F16&gt;0, I16/F16, 0)</f>
        <v/>
      </c>
      <c r="K16" s="6">
        <f>G16+I16</f>
        <v/>
      </c>
    </row>
    <row r="17" ht="20" customHeight="1">
      <c r="A17" s="4" t="inlineStr">
        <is>
          <t>05/2026</t>
        </is>
      </c>
      <c r="B17" s="4" t="inlineStr">
        <is>
          <t>05/04/2026</t>
        </is>
      </c>
      <c r="C17" s="4" t="inlineStr">
        <is>
          <t>2023001613</t>
        </is>
      </c>
      <c r="D17" s="5" t="inlineStr">
        <is>
          <t>ΤΑΡΑΝΗΣ ΙΓΝΑΤΙΟΣ</t>
        </is>
      </c>
      <c r="E17" s="4" t="n">
        <v>4</v>
      </c>
      <c r="F17" s="6" t="n">
        <v>202.37</v>
      </c>
      <c r="G17" s="6" t="n">
        <v>50.59</v>
      </c>
      <c r="H17" s="14">
        <f>IF(F17&gt;0, G17/F17, 0)</f>
        <v/>
      </c>
      <c r="I17" s="6" t="n">
        <v>10.12</v>
      </c>
      <c r="J17" s="14">
        <f>IF(F17&gt;0, I17/F17, 0)</f>
        <v/>
      </c>
      <c r="K17" s="6">
        <f>G17+I17</f>
        <v/>
      </c>
    </row>
    <row r="18" ht="20" customHeight="1">
      <c r="A18" s="4" t="inlineStr">
        <is>
          <t>06/2026</t>
        </is>
      </c>
      <c r="B18" s="4" t="inlineStr">
        <is>
          <t>21/06/2026</t>
        </is>
      </c>
      <c r="C18" s="4" t="inlineStr">
        <is>
          <t>296632</t>
        </is>
      </c>
      <c r="D18" s="5" t="inlineStr">
        <is>
          <t>ΚΟΝΤΟΣ ΚΩΝΣΤΑΝΤΙΝΟΣ</t>
        </is>
      </c>
      <c r="E18" s="4" t="n">
        <v>28</v>
      </c>
      <c r="F18" s="6" t="n">
        <v>238.94</v>
      </c>
      <c r="G18" s="6" t="n">
        <v>0</v>
      </c>
      <c r="H18" s="14">
        <f>IF(F18&gt;0, G18/F18, 0)</f>
        <v/>
      </c>
      <c r="I18" s="6" t="n">
        <v>0</v>
      </c>
      <c r="J18" s="14">
        <f>IF(F18&gt;0, I18/F18, 0)</f>
        <v/>
      </c>
      <c r="K18" s="6">
        <f>G18+I18</f>
        <v/>
      </c>
    </row>
    <row r="19" ht="20" customHeight="1">
      <c r="A19" s="4" t="inlineStr">
        <is>
          <t>06/2026</t>
        </is>
      </c>
      <c r="B19" s="4" t="inlineStr">
        <is>
          <t>30/06/2026</t>
        </is>
      </c>
      <c r="C19" s="4" t="inlineStr">
        <is>
          <t>2025001836</t>
        </is>
      </c>
      <c r="D19" s="5" t="inlineStr">
        <is>
          <t>ΣΤΕΡΓΙΟΥ ΑΒΑΠΤΙΣΤΟ</t>
        </is>
      </c>
      <c r="E19" s="4" t="n">
        <v>1</v>
      </c>
      <c r="F19" s="6" t="n">
        <v>174.8</v>
      </c>
      <c r="G19" s="6" t="n">
        <v>0</v>
      </c>
      <c r="H19" s="14">
        <f>IF(F19&gt;0, G19/F19, 0)</f>
        <v/>
      </c>
      <c r="I19" s="6" t="n">
        <v>9.84</v>
      </c>
      <c r="J19" s="14">
        <f>IF(F19&gt;0, I19/F19, 0)</f>
        <v/>
      </c>
      <c r="K19" s="6">
        <f>G19+I19</f>
        <v/>
      </c>
    </row>
    <row r="20" ht="20" customHeight="1">
      <c r="A20" s="4" t="inlineStr">
        <is>
          <t>07/2026</t>
        </is>
      </c>
      <c r="B20" s="4" t="inlineStr">
        <is>
          <t>27/06/2026</t>
        </is>
      </c>
      <c r="C20" s="4" t="inlineStr">
        <is>
          <t>2025001066</t>
        </is>
      </c>
      <c r="D20" s="5" t="inlineStr">
        <is>
          <t>ΚΑΤΣΙΓΙΑΝΝΑΚΗ ΚΑΛΛΙΟΠΗ</t>
        </is>
      </c>
      <c r="E20" s="4" t="n">
        <v>2</v>
      </c>
      <c r="F20" s="6" t="n">
        <v>145.63</v>
      </c>
      <c r="G20" s="6" t="n">
        <v>0</v>
      </c>
      <c r="H20" s="14">
        <f>IF(F20&gt;0, G20/F20, 0)</f>
        <v/>
      </c>
      <c r="I20" s="6" t="n">
        <v>2.88</v>
      </c>
      <c r="J20" s="14">
        <f>IF(F20&gt;0, I20/F20, 0)</f>
        <v/>
      </c>
      <c r="K20" s="6">
        <f>G20+I20</f>
        <v/>
      </c>
    </row>
    <row r="21" ht="20" customHeight="1">
      <c r="A21" s="4" t="inlineStr">
        <is>
          <t>07/2026</t>
        </is>
      </c>
      <c r="B21" s="4" t="inlineStr">
        <is>
          <t>13/07/2026</t>
        </is>
      </c>
      <c r="C21" s="4" t="inlineStr">
        <is>
          <t>2025000058</t>
        </is>
      </c>
      <c r="D21" s="5" t="inlineStr">
        <is>
          <t>ΤΣΑΠΡΑΛΗΣ ΚΩΝΣΤΑΝΤΙΝΟΣ</t>
        </is>
      </c>
      <c r="E21" s="4" t="n">
        <v>2</v>
      </c>
      <c r="F21" s="6" t="n">
        <v>322.09</v>
      </c>
      <c r="G21" s="6" t="n">
        <v>0</v>
      </c>
      <c r="H21" s="14">
        <f>IF(F21&gt;0, G21/F21, 0)</f>
        <v/>
      </c>
      <c r="I21" s="6" t="n">
        <v>15.79</v>
      </c>
      <c r="J21" s="14">
        <f>IF(F21&gt;0, I21/F21, 0)</f>
        <v/>
      </c>
      <c r="K21" s="6">
        <f>G21+I21</f>
        <v/>
      </c>
    </row>
    <row r="22" ht="20" customHeight="1">
      <c r="A22" s="4" t="inlineStr">
        <is>
          <t>07/2026</t>
        </is>
      </c>
      <c r="B22" s="4" t="inlineStr">
        <is>
          <t>27/07/2026</t>
        </is>
      </c>
      <c r="C22" s="4" t="inlineStr">
        <is>
          <t>2026000161</t>
        </is>
      </c>
      <c r="D22" s="5" t="inlineStr">
        <is>
          <t>ΤΕΖΚΟΣΑΡ ΑΓΛΑΙΑ</t>
        </is>
      </c>
      <c r="E22" s="4" t="n">
        <v>1</v>
      </c>
      <c r="F22" s="6" t="n">
        <v>414.55</v>
      </c>
      <c r="G22" s="6" t="n">
        <v>116.18</v>
      </c>
      <c r="H22" s="14">
        <f>IF(F22&gt;0, G22/F22, 0)</f>
        <v/>
      </c>
      <c r="I22" s="6" t="n">
        <v>23.24</v>
      </c>
      <c r="J22" s="14">
        <f>IF(F22&gt;0, I22/F22, 0)</f>
        <v/>
      </c>
      <c r="K22" s="6">
        <f>G22+I22</f>
        <v/>
      </c>
    </row>
    <row r="23" ht="24" customHeight="1">
      <c r="D23" s="12" t="inlineStr">
        <is>
          <t>ΣΥΝΟΛΑ:</t>
        </is>
      </c>
      <c r="F23" s="8">
        <f>SUM(F5:F22)</f>
        <v/>
      </c>
      <c r="G23" s="8">
        <f>SUM(G5:G22)</f>
        <v/>
      </c>
      <c r="H23" s="13">
        <f>G23/F23</f>
        <v/>
      </c>
      <c r="I23" s="8">
        <f>SUM(I5:I22)</f>
        <v/>
      </c>
      <c r="J23" s="13">
        <f>I23/F23</f>
        <v/>
      </c>
      <c r="K23" s="8">
        <f>SUM(K5:K22)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8" customWidth="1" min="4" max="4"/>
    <col width="30" customWidth="1" min="5" max="5"/>
    <col width="16" customWidth="1" min="6" max="6"/>
    <col width="16" customWidth="1" min="7" max="7"/>
    <col width="16" customWidth="1" min="8" max="8"/>
    <col width="8" customWidth="1" min="9" max="9"/>
    <col width="18" customWidth="1" min="10" max="10"/>
    <col width="24" customWidth="1" min="11" max="11"/>
    <col width="22" customWidth="1" min="12" max="12"/>
    <col width="22" customWidth="1" min="13" max="13"/>
    <col width="20" customWidth="1" min="14" max="14"/>
    <col width="22" customWidth="1" min="15" max="15"/>
    <col width="22" customWidth="1" min="16" max="16"/>
    <col width="30" customWidth="1" min="17" max="17"/>
    <col width="24" customWidth="1" min="18" max="18"/>
    <col width="30" customWidth="1" min="19" max="19"/>
    <col width="20" customWidth="1" min="20" max="20"/>
    <col width="36" customWidth="1" min="21" max="21"/>
    <col width="32" customWidth="1" min="22" max="22"/>
    <col width="30" customWidth="1" min="23" max="23"/>
  </cols>
  <sheetData>
    <row r="1" ht="36" customHeight="1">
      <c r="A1" s="1" t="inlineStr">
        <is>
          <t>ERGO - ΤΡΟΠΟΣ ΠΛΗΡΩΜΗΣ, ΔΙΑΡΚΕΙΑ, ΠΟΣΟΣΤΑ ΠΡΟΜΗΘΕΙΩΝ &amp; ΤΕΧΝΙΚΕΣ ΚΑΛΥΨΕΙΣ ΑΝΑ ΣΥΜΒΟΛΑΙΟ</t>
        </is>
      </c>
    </row>
    <row r="2" ht="20" customHeight="1">
      <c r="A2" s="15" t="inlineStr">
        <is>
          <t>Αναλυτικός πίνακας ημερομηνιών, τρόπων πληρωμής, διάρκειας, ποσοστών προμηθειών (Συνεργάτη &amp; Agency) και ορίων καλύψεων ανά συμβόλαιο</t>
        </is>
      </c>
    </row>
    <row r="4" ht="28" customHeight="1">
      <c r="A4" s="3" t="inlineStr">
        <is>
          <t>Ημερομηνία</t>
        </is>
      </c>
      <c r="B4" s="3" t="inlineStr">
        <is>
          <t>Μήνας Εκκαθ.</t>
        </is>
      </c>
      <c r="C4" s="3" t="inlineStr">
        <is>
          <t>Αρ. Συμβολαίου</t>
        </is>
      </c>
      <c r="D4" s="3" t="inlineStr">
        <is>
          <t>Ονοματεπώνυμο Πελάτη</t>
        </is>
      </c>
      <c r="E4" s="3" t="inlineStr">
        <is>
          <t>Προϊόν ERGO</t>
        </is>
      </c>
      <c r="F4" s="3" t="inlineStr">
        <is>
          <t>Κλάδος</t>
        </is>
      </c>
      <c r="G4" s="3" t="inlineStr">
        <is>
          <t>Τρόπος Πληρωμής</t>
        </is>
      </c>
      <c r="H4" s="3" t="inlineStr">
        <is>
          <t>Διάρκεια</t>
        </is>
      </c>
      <c r="I4" s="3" t="inlineStr">
        <is>
          <t>Έτος</t>
        </is>
      </c>
      <c r="J4" s="3" t="inlineStr">
        <is>
          <t>Καθαρά (€)</t>
        </is>
      </c>
      <c r="K4" s="3" t="inlineStr">
        <is>
          <t>Προμήθεια Συνεργάτη (€)</t>
        </is>
      </c>
      <c r="L4" s="3" t="inlineStr">
        <is>
          <t>Ποσοστό Συνεργάτη (%)</t>
        </is>
      </c>
      <c r="M4" s="3" t="inlineStr">
        <is>
          <t>Override Agency (€)</t>
        </is>
      </c>
      <c r="N4" s="3" t="inlineStr">
        <is>
          <t>Ποσοστό Agency (%)</t>
        </is>
      </c>
      <c r="O4" s="3" t="inlineStr">
        <is>
          <t>Συνολική Αμοιβή (€)</t>
        </is>
      </c>
      <c r="P4" s="3" t="inlineStr">
        <is>
          <t>Συνολικό Ποσοστό (%)</t>
        </is>
      </c>
      <c r="Q4" s="3" t="inlineStr">
        <is>
          <t>Ανώτατο Όριο Κάλυψης</t>
        </is>
      </c>
      <c r="R4" s="3" t="inlineStr">
        <is>
          <t>Θέση Νοσηλείας</t>
        </is>
      </c>
      <c r="S4" s="3" t="inlineStr">
        <is>
          <t>Δίκτυο Νοσοκομείων</t>
        </is>
      </c>
      <c r="T4" s="3" t="inlineStr">
        <is>
          <t>Απαλλαγή</t>
        </is>
      </c>
      <c r="U4" s="3" t="inlineStr">
        <is>
          <t>Εξωνοσοκομειακά &amp; Επείγοντα</t>
        </is>
      </c>
      <c r="V4" s="3" t="inlineStr">
        <is>
          <t>Επιδόματα &amp; Assistance</t>
        </is>
      </c>
      <c r="W4" s="3" t="inlineStr">
        <is>
          <t>Riders &amp; Παροχές</t>
        </is>
      </c>
    </row>
    <row r="5" ht="22" customHeight="1">
      <c r="A5" s="9" t="inlineStr">
        <is>
          <t>29/01/2026</t>
        </is>
      </c>
      <c r="B5" s="9" t="inlineStr">
        <is>
          <t>02/2026</t>
        </is>
      </c>
      <c r="C5" s="9" t="inlineStr">
        <is>
          <t>2026000182</t>
        </is>
      </c>
      <c r="D5" s="16" t="inlineStr">
        <is>
          <t>ΠΑΠΑΔΑΚΗΣ ΦΑΙΔΩΝ</t>
        </is>
      </c>
      <c r="E5" s="16" t="inlineStr">
        <is>
          <t>ERGO Health Care Superior</t>
        </is>
      </c>
      <c r="F5" s="16" t="inlineStr">
        <is>
          <t>Υγεία</t>
        </is>
      </c>
      <c r="G5" s="9" t="inlineStr">
        <is>
          <t>Ετήσιο</t>
        </is>
      </c>
      <c r="H5" s="9" t="inlineStr">
        <is>
          <t>1 έτη</t>
        </is>
      </c>
      <c r="I5" s="9" t="n">
        <v>1</v>
      </c>
      <c r="J5" s="6" t="n">
        <v>896.3</v>
      </c>
      <c r="K5" s="6" t="n">
        <v>0</v>
      </c>
      <c r="L5" s="10">
        <f>K5/J5</f>
        <v/>
      </c>
      <c r="M5" s="6" t="n">
        <v>51.99</v>
      </c>
      <c r="N5" s="10">
        <f>M5/J5</f>
        <v/>
      </c>
      <c r="O5" s="6">
        <f>K5+M5</f>
        <v/>
      </c>
      <c r="P5" s="10">
        <f>O5/J5</f>
        <v/>
      </c>
      <c r="Q5" s="5" t="inlineStr">
        <is>
          <t>€500.000 / ασφαλιστικό έτος</t>
        </is>
      </c>
      <c r="R5" s="5" t="inlineStr">
        <is>
          <t>Α' Θέση (Μονόκλινο)</t>
        </is>
      </c>
      <c r="S5" s="5" t="inlineStr">
        <is>
          <t>100% Δίκτυο 4U &amp; Συμβεβλημένα</t>
        </is>
      </c>
      <c r="T5" s="5" t="inlineStr">
        <is>
          <t>€1.500 / €3.000</t>
        </is>
      </c>
      <c r="U5" s="5" t="inlineStr">
        <is>
          <t>Περιλαμβάνεται (€2.000) &amp; €1.000 Επείγοντα</t>
        </is>
      </c>
      <c r="V5" s="5" t="inlineStr">
        <is>
          <t>€150/ημέρα Νοσοκομειακό + Χειρουργικό</t>
        </is>
      </c>
      <c r="W5" s="5" t="inlineStr">
        <is>
          <t>ERGOLIFE Assistance 24/7</t>
        </is>
      </c>
    </row>
    <row r="6" ht="22" customHeight="1">
      <c r="A6" s="9" t="inlineStr">
        <is>
          <t>17/02/2026</t>
        </is>
      </c>
      <c r="B6" s="9" t="inlineStr">
        <is>
          <t>02/2026</t>
        </is>
      </c>
      <c r="C6" s="9" t="inlineStr">
        <is>
          <t>2021000340</t>
        </is>
      </c>
      <c r="D6" s="16" t="inlineStr">
        <is>
          <t>ΚΟΥΠΑΛΟΓΛΟΥ ΑΒΑΠΤΙΣΤΟ</t>
        </is>
      </c>
      <c r="E6" s="16" t="inlineStr">
        <is>
          <t>ERGO Life (Ισόβια) &amp; Riders</t>
        </is>
      </c>
      <c r="F6" s="16" t="inlineStr">
        <is>
          <t>Ζωή</t>
        </is>
      </c>
      <c r="G6" s="9" t="inlineStr">
        <is>
          <t>Ετήσιο</t>
        </is>
      </c>
      <c r="H6" s="9" t="inlineStr">
        <is>
          <t>1 έτη</t>
        </is>
      </c>
      <c r="I6" s="9" t="n">
        <v>6</v>
      </c>
      <c r="J6" s="6" t="n">
        <v>359.74</v>
      </c>
      <c r="K6" s="6" t="n">
        <v>89.94</v>
      </c>
      <c r="L6" s="10">
        <f>K6/J6</f>
        <v/>
      </c>
      <c r="M6" s="6" t="n">
        <v>0</v>
      </c>
      <c r="N6" s="10">
        <f>M6/J6</f>
        <v/>
      </c>
      <c r="O6" s="6">
        <f>K6+M6</f>
        <v/>
      </c>
      <c r="P6" s="10">
        <f>O6/J6</f>
        <v/>
      </c>
      <c r="Q6" s="5" t="inlineStr">
        <is>
          <t>Κεφάλαιο Ζωής €50.000</t>
        </is>
      </c>
      <c r="R6" s="5" t="inlineStr">
        <is>
          <t>N/A</t>
        </is>
      </c>
      <c r="S6" s="5" t="inlineStr">
        <is>
          <t>Ελεύθερη Επιλογή Ιατρών</t>
        </is>
      </c>
      <c r="T6" s="5" t="inlineStr">
        <is>
          <t>N/A</t>
        </is>
      </c>
      <c r="U6" s="5" t="inlineStr">
        <is>
          <t>Ιατροφαρμακευτικά Ατυχήματος</t>
        </is>
      </c>
      <c r="V6" s="5" t="inlineStr">
        <is>
          <t>Νοσοκομειακό Επίδομα Ατυχήματος</t>
        </is>
      </c>
      <c r="W6" s="5" t="inlineStr">
        <is>
          <t>Θάνατος / ΜΑ Ατυχήματος, ΑΠΑ</t>
        </is>
      </c>
    </row>
    <row r="7" ht="22" customHeight="1">
      <c r="A7" s="9" t="inlineStr">
        <is>
          <t>27/01/2026</t>
        </is>
      </c>
      <c r="B7" s="9" t="inlineStr">
        <is>
          <t>03/2026</t>
        </is>
      </c>
      <c r="C7" s="9" t="inlineStr">
        <is>
          <t>2026000161</t>
        </is>
      </c>
      <c r="D7" s="16" t="inlineStr">
        <is>
          <t>ΤΕΖΚΟΣΑΡ ΑΓΛΑΙΑ</t>
        </is>
      </c>
      <c r="E7" s="16" t="inlineStr">
        <is>
          <t>ERGO Health Care Advanced</t>
        </is>
      </c>
      <c r="F7" s="16" t="inlineStr">
        <is>
          <t>Υγεία</t>
        </is>
      </c>
      <c r="G7" s="9" t="inlineStr">
        <is>
          <t>Τρίμηνο</t>
        </is>
      </c>
      <c r="H7" s="9" t="inlineStr">
        <is>
          <t>1 έτη</t>
        </is>
      </c>
      <c r="I7" s="9" t="n">
        <v>1</v>
      </c>
      <c r="J7" s="6" t="n">
        <v>414.55</v>
      </c>
      <c r="K7" s="6" t="n">
        <v>116.18</v>
      </c>
      <c r="L7" s="10">
        <f>K7/J7</f>
        <v/>
      </c>
      <c r="M7" s="6" t="n">
        <v>23.24</v>
      </c>
      <c r="N7" s="10">
        <f>M7/J7</f>
        <v/>
      </c>
      <c r="O7" s="6">
        <f>K7+M7</f>
        <v/>
      </c>
      <c r="P7" s="10">
        <f>O7/J7</f>
        <v/>
      </c>
      <c r="Q7" s="5" t="inlineStr">
        <is>
          <t>€300.000 / περιστατικό</t>
        </is>
      </c>
      <c r="R7" s="5" t="inlineStr">
        <is>
          <t>Α' Θέση (Μονόκλινο)</t>
        </is>
      </c>
      <c r="S7" s="5" t="inlineStr">
        <is>
          <t>100% Δίκτυο 4U &amp; Αναγνωρισμένα</t>
        </is>
      </c>
      <c r="T7" s="5" t="inlineStr">
        <is>
          <t>€500 / €1.500</t>
        </is>
      </c>
      <c r="U7" s="5" t="inlineStr">
        <is>
          <t>€750 Επείγοντα + Διαγνωστικά Δικτύου</t>
        </is>
      </c>
      <c r="V7" s="5" t="inlineStr">
        <is>
          <t>€120/ημέρα Νοσοκομειακό</t>
        </is>
      </c>
      <c r="W7" s="5" t="inlineStr">
        <is>
          <t>ERGOLIFE Assistance 24/7, ΑΠΑ</t>
        </is>
      </c>
    </row>
    <row r="8" ht="22" customHeight="1">
      <c r="A8" s="9" t="inlineStr">
        <is>
          <t>14/02/2026</t>
        </is>
      </c>
      <c r="B8" s="9" t="inlineStr">
        <is>
          <t>03/2026</t>
        </is>
      </c>
      <c r="C8" s="9" t="inlineStr">
        <is>
          <t>2025000256</t>
        </is>
      </c>
      <c r="D8" s="16" t="inlineStr">
        <is>
          <t>ΒΑΒΑΤΣΙΚΟΣ ΔΗΜΗΤΡΙΟΣ</t>
        </is>
      </c>
      <c r="E8" s="16" t="inlineStr">
        <is>
          <t>ERGO Life &amp; Health Rider</t>
        </is>
      </c>
      <c r="F8" s="16" t="inlineStr">
        <is>
          <t>Ζωή &amp; Υγεία</t>
        </is>
      </c>
      <c r="G8" s="9" t="inlineStr">
        <is>
          <t>Ετήσιο</t>
        </is>
      </c>
      <c r="H8" s="9" t="inlineStr">
        <is>
          <t>1 έτη</t>
        </is>
      </c>
      <c r="I8" s="9" t="n">
        <v>2</v>
      </c>
      <c r="J8" s="6" t="n">
        <v>0</v>
      </c>
      <c r="K8" s="6" t="n">
        <v>0</v>
      </c>
      <c r="L8" s="10">
        <f>K8/J8</f>
        <v/>
      </c>
      <c r="M8" s="6" t="n">
        <v>0</v>
      </c>
      <c r="N8" s="10">
        <f>M8/J8</f>
        <v/>
      </c>
      <c r="O8" s="6">
        <f>K8+M8</f>
        <v/>
      </c>
      <c r="P8" s="10">
        <f>O8/J8</f>
        <v/>
      </c>
      <c r="Q8" s="5" t="inlineStr">
        <is>
          <t>Κεφάλαιο €100.000 / €300.000</t>
        </is>
      </c>
      <c r="R8" s="5" t="inlineStr">
        <is>
          <t>Β' Θέση (Δίκλινο)</t>
        </is>
      </c>
      <c r="S8" s="5" t="inlineStr">
        <is>
          <t>Δίκτυο 4U</t>
        </is>
      </c>
      <c r="T8" s="5" t="inlineStr">
        <is>
          <t>€1.500</t>
        </is>
      </c>
      <c r="U8" s="5" t="inlineStr">
        <is>
          <t>Επείγοντα €500</t>
        </is>
      </c>
      <c r="V8" s="5" t="inlineStr">
        <is>
          <t>€100/ημέρα</t>
        </is>
      </c>
      <c r="W8" s="5" t="inlineStr">
        <is>
          <t>Θάνατος Ατυχήματος, ΑΠΑ</t>
        </is>
      </c>
    </row>
    <row r="9" ht="22" customHeight="1">
      <c r="A9" s="9" t="inlineStr">
        <is>
          <t>24/02/2026</t>
        </is>
      </c>
      <c r="B9" s="9" t="inlineStr">
        <is>
          <t>03/2026</t>
        </is>
      </c>
      <c r="C9" s="9" t="inlineStr">
        <is>
          <t>2026000457</t>
        </is>
      </c>
      <c r="D9" s="16" t="inlineStr">
        <is>
          <t>ΜΟΥΛΑΚΑΚΗΣ ΓΡΗΓΟΡΙΟΣ</t>
        </is>
      </c>
      <c r="E9" s="16" t="inlineStr">
        <is>
          <t>ERGO Health Care Superior</t>
        </is>
      </c>
      <c r="F9" s="16" t="inlineStr">
        <is>
          <t>Υγεία</t>
        </is>
      </c>
      <c r="G9" s="9" t="inlineStr">
        <is>
          <t>Ετήσιο</t>
        </is>
      </c>
      <c r="H9" s="9" t="inlineStr">
        <is>
          <t>20 έτη</t>
        </is>
      </c>
      <c r="I9" s="9" t="n">
        <v>1</v>
      </c>
      <c r="J9" s="6" t="n">
        <v>874.16</v>
      </c>
      <c r="K9" s="6" t="n">
        <v>238.11</v>
      </c>
      <c r="L9" s="10">
        <f>K9/J9</f>
        <v/>
      </c>
      <c r="M9" s="6" t="n">
        <v>47.63</v>
      </c>
      <c r="N9" s="10">
        <f>M9/J9</f>
        <v/>
      </c>
      <c r="O9" s="6">
        <f>K9+M9</f>
        <v/>
      </c>
      <c r="P9" s="10">
        <f>O9/J9</f>
        <v/>
      </c>
      <c r="Q9" s="5" t="inlineStr">
        <is>
          <t>€500.000 / ασφαλιστικό έτος</t>
        </is>
      </c>
      <c r="R9" s="5" t="inlineStr">
        <is>
          <t>Α' Θέση (Μονόκλινο)</t>
        </is>
      </c>
      <c r="S9" s="5" t="inlineStr">
        <is>
          <t>100% Δίκτυο 4U &amp; Συμβεβλημένα</t>
        </is>
      </c>
      <c r="T9" s="5" t="inlineStr">
        <is>
          <t>€500 / €1.500</t>
        </is>
      </c>
      <c r="U9" s="5" t="inlineStr">
        <is>
          <t>Περιλαμβάνεται (€2.000) &amp; €1.000 Επείγοντα</t>
        </is>
      </c>
      <c r="V9" s="5" t="inlineStr">
        <is>
          <t>€150/ημέρα Νοσοκομειακό + Χειρουργικό</t>
        </is>
      </c>
      <c r="W9" s="5" t="inlineStr">
        <is>
          <t>ERGOLIFE Assistance 24/7</t>
        </is>
      </c>
    </row>
    <row r="10" ht="22" customHeight="1">
      <c r="A10" s="9" t="inlineStr">
        <is>
          <t>21/03/2026</t>
        </is>
      </c>
      <c r="B10" s="9" t="inlineStr">
        <is>
          <t>03/2026</t>
        </is>
      </c>
      <c r="C10" s="9" t="inlineStr">
        <is>
          <t>296632</t>
        </is>
      </c>
      <c r="D10" s="16" t="inlineStr">
        <is>
          <t>ΚΟΝΤΟΣ ΚΩΝΣΤΑΝΤΙΝΟΣ</t>
        </is>
      </c>
      <c r="E10" s="16" t="inlineStr">
        <is>
          <t>ERGO Life (Πρόσκαιρη Θανάτου)</t>
        </is>
      </c>
      <c r="F10" s="16" t="inlineStr">
        <is>
          <t>Ζωή</t>
        </is>
      </c>
      <c r="G10" s="9" t="inlineStr">
        <is>
          <t>Τρίμηνο</t>
        </is>
      </c>
      <c r="H10" s="9" t="inlineStr">
        <is>
          <t>Ισόβιο (99 έτη)</t>
        </is>
      </c>
      <c r="I10" s="9" t="n">
        <v>27</v>
      </c>
      <c r="J10" s="6" t="n">
        <v>216.11</v>
      </c>
      <c r="K10" s="6" t="n">
        <v>0</v>
      </c>
      <c r="L10" s="10">
        <f>K10/J10</f>
        <v/>
      </c>
      <c r="M10" s="6" t="n">
        <v>0</v>
      </c>
      <c r="N10" s="10">
        <f>M10/J10</f>
        <v/>
      </c>
      <c r="O10" s="6">
        <f>K10+M10</f>
        <v/>
      </c>
      <c r="P10" s="10">
        <f>O10/J10</f>
        <v/>
      </c>
      <c r="Q10" s="5" t="inlineStr">
        <is>
          <t>Κεφάλαιο Ζωής €30.000</t>
        </is>
      </c>
      <c r="R10" s="5" t="inlineStr">
        <is>
          <t>N/A</t>
        </is>
      </c>
      <c r="S10" s="5" t="inlineStr">
        <is>
          <t>N/A</t>
        </is>
      </c>
      <c r="T10" s="5" t="inlineStr">
        <is>
          <t>N/A</t>
        </is>
      </c>
      <c r="U10" s="5" t="inlineStr">
        <is>
          <t>N/A</t>
        </is>
      </c>
      <c r="V10" s="5" t="inlineStr">
        <is>
          <t>N/A</t>
        </is>
      </c>
      <c r="W10" s="5" t="inlineStr">
        <is>
          <t>Βασική Ασφάλιση Θανάτου</t>
        </is>
      </c>
    </row>
    <row r="11" ht="22" customHeight="1">
      <c r="A11" s="9" t="inlineStr">
        <is>
          <t>27/03/2026</t>
        </is>
      </c>
      <c r="B11" s="9" t="inlineStr">
        <is>
          <t>03/2026</t>
        </is>
      </c>
      <c r="C11" s="9" t="inlineStr">
        <is>
          <t>2022005568</t>
        </is>
      </c>
      <c r="D11" s="16" t="inlineStr">
        <is>
          <t>ΣΑΡΑΦΙΔΟΥ ΕΛΕΝΗ</t>
        </is>
      </c>
      <c r="E11" s="16" t="inlineStr">
        <is>
          <t>ERGO Life &amp; Riders</t>
        </is>
      </c>
      <c r="F11" s="16" t="inlineStr">
        <is>
          <t>Ζωή</t>
        </is>
      </c>
      <c r="G11" s="9" t="inlineStr">
        <is>
          <t>Εξάμηνο</t>
        </is>
      </c>
      <c r="H11" s="9" t="inlineStr">
        <is>
          <t>25 έτη</t>
        </is>
      </c>
      <c r="I11" s="9" t="n">
        <v>4</v>
      </c>
      <c r="J11" s="6" t="n">
        <v>72.89</v>
      </c>
      <c r="K11" s="6" t="n">
        <v>6.18</v>
      </c>
      <c r="L11" s="10">
        <f>K11/J11</f>
        <v/>
      </c>
      <c r="M11" s="6" t="n">
        <v>0</v>
      </c>
      <c r="N11" s="10">
        <f>M11/J11</f>
        <v/>
      </c>
      <c r="O11" s="6">
        <f>K11+M11</f>
        <v/>
      </c>
      <c r="P11" s="10">
        <f>O11/J11</f>
        <v/>
      </c>
      <c r="Q11" s="5" t="inlineStr">
        <is>
          <t>Κεφάλαιο Ζωής €40.000</t>
        </is>
      </c>
      <c r="R11" s="5" t="inlineStr">
        <is>
          <t>N/A</t>
        </is>
      </c>
      <c r="S11" s="5" t="inlineStr">
        <is>
          <t>N/A</t>
        </is>
      </c>
      <c r="T11" s="5" t="inlineStr">
        <is>
          <t>N/A</t>
        </is>
      </c>
      <c r="U11" s="5" t="inlineStr">
        <is>
          <t>Ιατροφαρμακευτικά Ατυχήματος</t>
        </is>
      </c>
      <c r="V11" s="5" t="inlineStr">
        <is>
          <t>Νοσοκομειακό Επίδομα</t>
        </is>
      </c>
      <c r="W11" s="5" t="inlineStr">
        <is>
          <t>Θάνατος Ατυχήματος, ΜΑ, ΑΠΑ</t>
        </is>
      </c>
    </row>
    <row r="12" ht="22" customHeight="1">
      <c r="A12" s="9" t="inlineStr">
        <is>
          <t>27/03/2026</t>
        </is>
      </c>
      <c r="B12" s="9" t="inlineStr">
        <is>
          <t>03/2026</t>
        </is>
      </c>
      <c r="C12" s="9" t="inlineStr">
        <is>
          <t>2025001066</t>
        </is>
      </c>
      <c r="D12" s="16" t="inlineStr">
        <is>
          <t>ΚΑΤΣΙΓΙΑΝΝΑΚΗ ΚΑΛΛΙΟΠΗ</t>
        </is>
      </c>
      <c r="E12" s="16" t="inlineStr">
        <is>
          <t>ERGO Health Care Simple</t>
        </is>
      </c>
      <c r="F12" s="16" t="inlineStr">
        <is>
          <t>Υγεία</t>
        </is>
      </c>
      <c r="G12" s="9" t="inlineStr">
        <is>
          <t>Τρίμηνο</t>
        </is>
      </c>
      <c r="H12" s="9" t="inlineStr">
        <is>
          <t>15 έτη</t>
        </is>
      </c>
      <c r="I12" s="9" t="n">
        <v>1</v>
      </c>
      <c r="J12" s="6" t="n">
        <v>145.63</v>
      </c>
      <c r="K12" s="6" t="n">
        <v>0</v>
      </c>
      <c r="L12" s="10">
        <f>K12/J12</f>
        <v/>
      </c>
      <c r="M12" s="6" t="n">
        <v>3.56</v>
      </c>
      <c r="N12" s="10">
        <f>M12/J12</f>
        <v/>
      </c>
      <c r="O12" s="6">
        <f>K12+M12</f>
        <v/>
      </c>
      <c r="P12" s="10">
        <f>O12/J12</f>
        <v/>
      </c>
      <c r="Q12" s="5" t="inlineStr">
        <is>
          <t>€300.000 / περιστατικό</t>
        </is>
      </c>
      <c r="R12" s="5" t="inlineStr">
        <is>
          <t>Β' Θέση (Δίκλινο)</t>
        </is>
      </c>
      <c r="S12" s="5" t="inlineStr">
        <is>
          <t>100% Δίκτυο 4U</t>
        </is>
      </c>
      <c r="T12" s="5" t="inlineStr">
        <is>
          <t>€1.500</t>
        </is>
      </c>
      <c r="U12" s="5" t="inlineStr">
        <is>
          <t>€500 Επείγοντα Περιστατικά</t>
        </is>
      </c>
      <c r="V12" s="5" t="inlineStr">
        <is>
          <t>€100/ημέρα Νοσοκομειακό</t>
        </is>
      </c>
      <c r="W12" s="5" t="inlineStr">
        <is>
          <t>ERGOLIFE Assistance 24/7</t>
        </is>
      </c>
    </row>
    <row r="13" ht="22" customHeight="1">
      <c r="A13" s="9" t="inlineStr">
        <is>
          <t>30/03/2026</t>
        </is>
      </c>
      <c r="B13" s="9" t="inlineStr">
        <is>
          <t>03/2026</t>
        </is>
      </c>
      <c r="C13" s="9" t="inlineStr">
        <is>
          <t>2025001836</t>
        </is>
      </c>
      <c r="D13" s="16" t="inlineStr">
        <is>
          <t>ΣΤΕΡΓΙΟΥ ΑΒΑΠΤΙΣΤΟ</t>
        </is>
      </c>
      <c r="E13" s="16" t="inlineStr">
        <is>
          <t>ERGO Health Care Advanced</t>
        </is>
      </c>
      <c r="F13" s="16" t="inlineStr">
        <is>
          <t>Υγεία</t>
        </is>
      </c>
      <c r="G13" s="9" t="inlineStr">
        <is>
          <t>Τρίμηνο</t>
        </is>
      </c>
      <c r="H13" s="9" t="inlineStr">
        <is>
          <t>1 έτη</t>
        </is>
      </c>
      <c r="I13" s="9" t="n">
        <v>1</v>
      </c>
      <c r="J13" s="6" t="n">
        <v>174.8</v>
      </c>
      <c r="K13" s="6" t="n">
        <v>0</v>
      </c>
      <c r="L13" s="10">
        <f>K13/J13</f>
        <v/>
      </c>
      <c r="M13" s="6" t="n">
        <v>9.84</v>
      </c>
      <c r="N13" s="10">
        <f>M13/J13</f>
        <v/>
      </c>
      <c r="O13" s="6">
        <f>K13+M13</f>
        <v/>
      </c>
      <c r="P13" s="10">
        <f>O13/J13</f>
        <v/>
      </c>
      <c r="Q13" s="5" t="inlineStr">
        <is>
          <t>€300.000 / περιστατικό</t>
        </is>
      </c>
      <c r="R13" s="5" t="inlineStr">
        <is>
          <t>Α' Θέση (Μονόκλινο)</t>
        </is>
      </c>
      <c r="S13" s="5" t="inlineStr">
        <is>
          <t>100% Δίκτυο 4U &amp; Συμβεβλημένα</t>
        </is>
      </c>
      <c r="T13" s="5" t="inlineStr">
        <is>
          <t>€500</t>
        </is>
      </c>
      <c r="U13" s="5" t="inlineStr">
        <is>
          <t>€750 Επείγοντα Περιστατικά</t>
        </is>
      </c>
      <c r="V13" s="5" t="inlineStr">
        <is>
          <t>€120/ημέρα Νοσοκομειακό</t>
        </is>
      </c>
      <c r="W13" s="5" t="inlineStr">
        <is>
          <t>ERGOLIFE Assistance 24/7</t>
        </is>
      </c>
    </row>
    <row r="14" ht="22" customHeight="1">
      <c r="A14" s="9" t="inlineStr">
        <is>
          <t>02/02/2026</t>
        </is>
      </c>
      <c r="B14" s="9" t="inlineStr">
        <is>
          <t>04/2026</t>
        </is>
      </c>
      <c r="C14" s="9" t="inlineStr">
        <is>
          <t>2026000210</t>
        </is>
      </c>
      <c r="D14" s="16" t="inlineStr">
        <is>
          <t>ΜΟΥΛΑΚΑΚΗΣ ΓΡΗΓΟΡΙΟΣ</t>
        </is>
      </c>
      <c r="E14" s="16" t="inlineStr">
        <is>
          <t>ERGO Health Care Superior</t>
        </is>
      </c>
      <c r="F14" s="16" t="inlineStr">
        <is>
          <t>Υγεία</t>
        </is>
      </c>
      <c r="G14" s="9" t="inlineStr">
        <is>
          <t>Ετήσιο</t>
        </is>
      </c>
      <c r="H14" s="9" t="inlineStr">
        <is>
          <t>20 έτη</t>
        </is>
      </c>
      <c r="I14" s="9" t="n">
        <v>1</v>
      </c>
      <c r="J14" s="6" t="n">
        <v>0</v>
      </c>
      <c r="K14" s="6" t="n">
        <v>0</v>
      </c>
      <c r="L14" s="10">
        <f>K14/J14</f>
        <v/>
      </c>
      <c r="M14" s="6" t="n">
        <v>0</v>
      </c>
      <c r="N14" s="10">
        <f>M14/J14</f>
        <v/>
      </c>
      <c r="O14" s="6">
        <f>K14+M14</f>
        <v/>
      </c>
      <c r="P14" s="10">
        <f>O14/J14</f>
        <v/>
      </c>
      <c r="Q14" s="5" t="inlineStr">
        <is>
          <t>€500.000 / ασφαλιστικό έτος</t>
        </is>
      </c>
      <c r="R14" s="5" t="inlineStr">
        <is>
          <t>Α' Θέση (Μονόκλινο)</t>
        </is>
      </c>
      <c r="S14" s="5" t="inlineStr">
        <is>
          <t>100% Δίκτυο 4U</t>
        </is>
      </c>
      <c r="T14" s="5" t="inlineStr">
        <is>
          <t>€1.500</t>
        </is>
      </c>
      <c r="U14" s="5" t="inlineStr">
        <is>
          <t>€1.000 Επείγοντα + Διαγνωστικά</t>
        </is>
      </c>
      <c r="V14" s="5" t="inlineStr">
        <is>
          <t>€150/ημέρα</t>
        </is>
      </c>
      <c r="W14" s="5" t="inlineStr">
        <is>
          <t>ERGOLIFE Assistance 24/7</t>
        </is>
      </c>
    </row>
    <row r="15" ht="22" customHeight="1">
      <c r="A15" s="9" t="inlineStr">
        <is>
          <t>08/04/2026</t>
        </is>
      </c>
      <c r="B15" s="9" t="inlineStr">
        <is>
          <t>04/2026</t>
        </is>
      </c>
      <c r="C15" s="9" t="inlineStr">
        <is>
          <t>2026000765</t>
        </is>
      </c>
      <c r="D15" s="16" t="inlineStr">
        <is>
          <t>ΠΑΛΙΑΤΣΑΣ ΑΘΑΝΑΣΙΟΣ</t>
        </is>
      </c>
      <c r="E15" s="16" t="inlineStr">
        <is>
          <t>ERGO Health Care Superior</t>
        </is>
      </c>
      <c r="F15" s="16" t="inlineStr">
        <is>
          <t>Υγεία</t>
        </is>
      </c>
      <c r="G15" s="9" t="inlineStr">
        <is>
          <t>Ετήσιο</t>
        </is>
      </c>
      <c r="H15" s="9" t="inlineStr">
        <is>
          <t>1 έτη</t>
        </is>
      </c>
      <c r="I15" s="9" t="n">
        <v>1</v>
      </c>
      <c r="J15" s="6" t="n">
        <v>666.12</v>
      </c>
      <c r="K15" s="6" t="n">
        <v>193.17</v>
      </c>
      <c r="L15" s="10">
        <f>K15/J15</f>
        <v/>
      </c>
      <c r="M15" s="6" t="n">
        <v>38.63</v>
      </c>
      <c r="N15" s="10">
        <f>M15/J15</f>
        <v/>
      </c>
      <c r="O15" s="6">
        <f>K15+M15</f>
        <v/>
      </c>
      <c r="P15" s="10">
        <f>O15/J15</f>
        <v/>
      </c>
      <c r="Q15" s="5" t="inlineStr">
        <is>
          <t>€500.000 / ασφαλιστικό έτος</t>
        </is>
      </c>
      <c r="R15" s="5" t="inlineStr">
        <is>
          <t>Α' Θέση (Μονόκλινο)</t>
        </is>
      </c>
      <c r="S15" s="5" t="inlineStr">
        <is>
          <t>100% Δίκτυο 4U &amp; Αναγνωρισμένα</t>
        </is>
      </c>
      <c r="T15" s="5" t="inlineStr">
        <is>
          <t>€500 / €1.500</t>
        </is>
      </c>
      <c r="U15" s="5" t="inlineStr">
        <is>
          <t>Περιλαμβάνεται (€2.000) &amp; €1.000 Επείγοντα</t>
        </is>
      </c>
      <c r="V15" s="5" t="inlineStr">
        <is>
          <t>€150/ημέρα Νοσοκομειακό + Χειρουργικό</t>
        </is>
      </c>
      <c r="W15" s="5" t="inlineStr">
        <is>
          <t>ERGOLIFE Assistance 24/7, ΑΠΑ</t>
        </is>
      </c>
    </row>
    <row r="16" ht="22" customHeight="1">
      <c r="A16" s="9" t="inlineStr">
        <is>
          <t>27/04/2026</t>
        </is>
      </c>
      <c r="B16" s="9" t="inlineStr">
        <is>
          <t>04/2026</t>
        </is>
      </c>
      <c r="C16" s="9" t="inlineStr">
        <is>
          <t>2026000161</t>
        </is>
      </c>
      <c r="D16" s="16" t="inlineStr">
        <is>
          <t>ΤΕΖΚΟΣΑΡ ΑΓΛΑΙΑ</t>
        </is>
      </c>
      <c r="E16" s="16" t="inlineStr">
        <is>
          <t>ERGO Health Care Advanced</t>
        </is>
      </c>
      <c r="F16" s="16" t="inlineStr">
        <is>
          <t>Υγεία</t>
        </is>
      </c>
      <c r="G16" s="9" t="inlineStr">
        <is>
          <t>Τρίμηνο</t>
        </is>
      </c>
      <c r="H16" s="9" t="inlineStr">
        <is>
          <t>1 έτη</t>
        </is>
      </c>
      <c r="I16" s="9" t="n">
        <v>1</v>
      </c>
      <c r="J16" s="6" t="n">
        <v>414.55</v>
      </c>
      <c r="K16" s="6" t="n">
        <v>116.18</v>
      </c>
      <c r="L16" s="10">
        <f>K16/J16</f>
        <v/>
      </c>
      <c r="M16" s="6" t="n">
        <v>23.24</v>
      </c>
      <c r="N16" s="10">
        <f>M16/J16</f>
        <v/>
      </c>
      <c r="O16" s="6">
        <f>K16+M16</f>
        <v/>
      </c>
      <c r="P16" s="10">
        <f>O16/J16</f>
        <v/>
      </c>
      <c r="Q16" s="5" t="inlineStr">
        <is>
          <t>€300.000 / περιστατικό</t>
        </is>
      </c>
      <c r="R16" s="5" t="inlineStr">
        <is>
          <t>Α' Θέση (Μονόκλινο)</t>
        </is>
      </c>
      <c r="S16" s="5" t="inlineStr">
        <is>
          <t>100% Δίκτυο 4U &amp; Αναγνωρισμένα</t>
        </is>
      </c>
      <c r="T16" s="5" t="inlineStr">
        <is>
          <t>€500 / €1.500</t>
        </is>
      </c>
      <c r="U16" s="5" t="inlineStr">
        <is>
          <t>€750 Επείγοντα + Διαγνωστικά Δικτύου</t>
        </is>
      </c>
      <c r="V16" s="5" t="inlineStr">
        <is>
          <t>€120/ημέρα Νοσοκομειακό</t>
        </is>
      </c>
      <c r="W16" s="5" t="inlineStr">
        <is>
          <t>ERGOLIFE Assistance 24/7, ΑΠΑ</t>
        </is>
      </c>
    </row>
    <row r="17" ht="22" customHeight="1">
      <c r="A17" s="9" t="inlineStr">
        <is>
          <t>05/04/2026</t>
        </is>
      </c>
      <c r="B17" s="9" t="inlineStr">
        <is>
          <t>05/2026</t>
        </is>
      </c>
      <c r="C17" s="9" t="inlineStr">
        <is>
          <t>2023001613</t>
        </is>
      </c>
      <c r="D17" s="16" t="inlineStr">
        <is>
          <t>ΤΑΡΑΝΗΣ ΙΓΝΑΤΙΟΣ</t>
        </is>
      </c>
      <c r="E17" s="16" t="inlineStr">
        <is>
          <t>ERGO Health Care Advanced</t>
        </is>
      </c>
      <c r="F17" s="16" t="inlineStr">
        <is>
          <t>Υγεία</t>
        </is>
      </c>
      <c r="G17" s="9" t="inlineStr">
        <is>
          <t>Ετήσιο</t>
        </is>
      </c>
      <c r="H17" s="9" t="inlineStr">
        <is>
          <t>1 έτη</t>
        </is>
      </c>
      <c r="I17" s="9" t="n">
        <v>4</v>
      </c>
      <c r="J17" s="6" t="n">
        <v>202.37</v>
      </c>
      <c r="K17" s="6" t="n">
        <v>50.59</v>
      </c>
      <c r="L17" s="10">
        <f>K17/J17</f>
        <v/>
      </c>
      <c r="M17" s="6" t="n">
        <v>10.12</v>
      </c>
      <c r="N17" s="10">
        <f>M17/J17</f>
        <v/>
      </c>
      <c r="O17" s="6">
        <f>K17+M17</f>
        <v/>
      </c>
      <c r="P17" s="10">
        <f>O17/J17</f>
        <v/>
      </c>
      <c r="Q17" s="5" t="inlineStr">
        <is>
          <t>€300.000 / περιστατικό</t>
        </is>
      </c>
      <c r="R17" s="5" t="inlineStr">
        <is>
          <t>Α' Θέση (Μονόκλινο)</t>
        </is>
      </c>
      <c r="S17" s="5" t="inlineStr">
        <is>
          <t>100% Δίκτυο 4U</t>
        </is>
      </c>
      <c r="T17" s="5" t="inlineStr">
        <is>
          <t>€1.500</t>
        </is>
      </c>
      <c r="U17" s="5" t="inlineStr">
        <is>
          <t>€750 Επείγοντα</t>
        </is>
      </c>
      <c r="V17" s="5" t="inlineStr">
        <is>
          <t>€120/ημέρα</t>
        </is>
      </c>
      <c r="W17" s="5" t="inlineStr">
        <is>
          <t>ERGOLIFE Assistance 24/7</t>
        </is>
      </c>
    </row>
    <row r="18" ht="22" customHeight="1">
      <c r="A18" s="9" t="inlineStr">
        <is>
          <t>21/06/2026</t>
        </is>
      </c>
      <c r="B18" s="9" t="inlineStr">
        <is>
          <t>06/2026</t>
        </is>
      </c>
      <c r="C18" s="9" t="inlineStr">
        <is>
          <t>296632</t>
        </is>
      </c>
      <c r="D18" s="16" t="inlineStr">
        <is>
          <t>ΚΟΝΤΟΣ ΚΩΝΣΤΑΝΤΙΝΟΣ</t>
        </is>
      </c>
      <c r="E18" s="16" t="inlineStr">
        <is>
          <t>ERGO Life (Πρόσκαιρη Θανάτου)</t>
        </is>
      </c>
      <c r="F18" s="16" t="inlineStr">
        <is>
          <t>Ζωή</t>
        </is>
      </c>
      <c r="G18" s="9" t="inlineStr">
        <is>
          <t>Τρίμηνο</t>
        </is>
      </c>
      <c r="H18" s="9" t="inlineStr">
        <is>
          <t>Ισόβιο (99 έτη)</t>
        </is>
      </c>
      <c r="I18" s="9" t="n">
        <v>28</v>
      </c>
      <c r="J18" s="6" t="n">
        <v>238.94</v>
      </c>
      <c r="K18" s="6" t="n">
        <v>0</v>
      </c>
      <c r="L18" s="10">
        <f>K18/J18</f>
        <v/>
      </c>
      <c r="M18" s="6" t="n">
        <v>0</v>
      </c>
      <c r="N18" s="10">
        <f>M18/J18</f>
        <v/>
      </c>
      <c r="O18" s="6">
        <f>K18+M18</f>
        <v/>
      </c>
      <c r="P18" s="10">
        <f>O18/J18</f>
        <v/>
      </c>
      <c r="Q18" s="5" t="inlineStr">
        <is>
          <t>Κεφάλαιο Ζωής €30.000</t>
        </is>
      </c>
      <c r="R18" s="5" t="inlineStr">
        <is>
          <t>N/A</t>
        </is>
      </c>
      <c r="S18" s="5" t="inlineStr">
        <is>
          <t>N/A</t>
        </is>
      </c>
      <c r="T18" s="5" t="inlineStr">
        <is>
          <t>N/A</t>
        </is>
      </c>
      <c r="U18" s="5" t="inlineStr">
        <is>
          <t>N/A</t>
        </is>
      </c>
      <c r="V18" s="5" t="inlineStr">
        <is>
          <t>N/A</t>
        </is>
      </c>
      <c r="W18" s="5" t="inlineStr">
        <is>
          <t>Βασική Ασφάλιση Θανάτου</t>
        </is>
      </c>
    </row>
    <row r="19" ht="22" customHeight="1">
      <c r="A19" s="9" t="inlineStr">
        <is>
          <t>30/06/2026</t>
        </is>
      </c>
      <c r="B19" s="9" t="inlineStr">
        <is>
          <t>06/2026</t>
        </is>
      </c>
      <c r="C19" s="9" t="inlineStr">
        <is>
          <t>2025001836</t>
        </is>
      </c>
      <c r="D19" s="16" t="inlineStr">
        <is>
          <t>ΣΤΕΡΓΙΟΥ ΑΒΑΠΤΙΣΤΟ</t>
        </is>
      </c>
      <c r="E19" s="16" t="inlineStr">
        <is>
          <t>ERGO Health Care Advanced</t>
        </is>
      </c>
      <c r="F19" s="16" t="inlineStr">
        <is>
          <t>Υγεία</t>
        </is>
      </c>
      <c r="G19" s="9" t="inlineStr">
        <is>
          <t>Τρίμηνο</t>
        </is>
      </c>
      <c r="H19" s="9" t="inlineStr">
        <is>
          <t>1 έτη</t>
        </is>
      </c>
      <c r="I19" s="9" t="n">
        <v>1</v>
      </c>
      <c r="J19" s="6" t="n">
        <v>174.8</v>
      </c>
      <c r="K19" s="6" t="n">
        <v>0</v>
      </c>
      <c r="L19" s="10">
        <f>K19/J19</f>
        <v/>
      </c>
      <c r="M19" s="6" t="n">
        <v>9.84</v>
      </c>
      <c r="N19" s="10">
        <f>M19/J19</f>
        <v/>
      </c>
      <c r="O19" s="6">
        <f>K19+M19</f>
        <v/>
      </c>
      <c r="P19" s="10">
        <f>O19/J19</f>
        <v/>
      </c>
      <c r="Q19" s="5" t="inlineStr">
        <is>
          <t>€300.000 / περιστατικό</t>
        </is>
      </c>
      <c r="R19" s="5" t="inlineStr">
        <is>
          <t>Α' Θέση (Μονόκλινο)</t>
        </is>
      </c>
      <c r="S19" s="5" t="inlineStr">
        <is>
          <t>100% Δίκτυο 4U &amp; Συμβεβλημένα</t>
        </is>
      </c>
      <c r="T19" s="5" t="inlineStr">
        <is>
          <t>€500</t>
        </is>
      </c>
      <c r="U19" s="5" t="inlineStr">
        <is>
          <t>€750 Επείγοντα Περιστατικά</t>
        </is>
      </c>
      <c r="V19" s="5" t="inlineStr">
        <is>
          <t>€120/ημέρα Νοσοκομειακό</t>
        </is>
      </c>
      <c r="W19" s="5" t="inlineStr">
        <is>
          <t>ERGOLIFE Assistance 24/7</t>
        </is>
      </c>
    </row>
    <row r="20" ht="22" customHeight="1">
      <c r="A20" s="9" t="inlineStr">
        <is>
          <t>27/06/2026</t>
        </is>
      </c>
      <c r="B20" s="9" t="inlineStr">
        <is>
          <t>07/2026</t>
        </is>
      </c>
      <c r="C20" s="9" t="inlineStr">
        <is>
          <t>2025001066</t>
        </is>
      </c>
      <c r="D20" s="16" t="inlineStr">
        <is>
          <t>ΚΑΤΣΙΓΙΑΝΝΑΚΗ ΚΑΛΛΙΟΠΗ</t>
        </is>
      </c>
      <c r="E20" s="16" t="inlineStr">
        <is>
          <t>ERGO Health Care Simple</t>
        </is>
      </c>
      <c r="F20" s="16" t="inlineStr">
        <is>
          <t>Υγεία</t>
        </is>
      </c>
      <c r="G20" s="9" t="inlineStr">
        <is>
          <t>Τρίμηνο</t>
        </is>
      </c>
      <c r="H20" s="9" t="inlineStr">
        <is>
          <t>15 έτη</t>
        </is>
      </c>
      <c r="I20" s="9" t="n">
        <v>2</v>
      </c>
      <c r="J20" s="6" t="n">
        <v>145.63</v>
      </c>
      <c r="K20" s="6" t="n">
        <v>0</v>
      </c>
      <c r="L20" s="10">
        <f>K20/J20</f>
        <v/>
      </c>
      <c r="M20" s="6" t="n">
        <v>2.88</v>
      </c>
      <c r="N20" s="10">
        <f>M20/J20</f>
        <v/>
      </c>
      <c r="O20" s="6">
        <f>K20+M20</f>
        <v/>
      </c>
      <c r="P20" s="10">
        <f>O20/J20</f>
        <v/>
      </c>
      <c r="Q20" s="5" t="inlineStr">
        <is>
          <t>€300.000 / περιστατικό</t>
        </is>
      </c>
      <c r="R20" s="5" t="inlineStr">
        <is>
          <t>Β' Θέση (Δίκλινο)</t>
        </is>
      </c>
      <c r="S20" s="5" t="inlineStr">
        <is>
          <t>100% Δίκτυο 4U</t>
        </is>
      </c>
      <c r="T20" s="5" t="inlineStr">
        <is>
          <t>€1.500</t>
        </is>
      </c>
      <c r="U20" s="5" t="inlineStr">
        <is>
          <t>€500 Επείγοντα Περιστατικά</t>
        </is>
      </c>
      <c r="V20" s="5" t="inlineStr">
        <is>
          <t>€100/ημέρα Νοσοκομειακό</t>
        </is>
      </c>
      <c r="W20" s="5" t="inlineStr">
        <is>
          <t>ERGOLIFE Assistance 24/7</t>
        </is>
      </c>
    </row>
    <row r="21" ht="22" customHeight="1">
      <c r="A21" s="9" t="inlineStr">
        <is>
          <t>13/07/2026</t>
        </is>
      </c>
      <c r="B21" s="9" t="inlineStr">
        <is>
          <t>07/2026</t>
        </is>
      </c>
      <c r="C21" s="9" t="inlineStr">
        <is>
          <t>2025000058</t>
        </is>
      </c>
      <c r="D21" s="16" t="inlineStr">
        <is>
          <t>ΤΣΑΠΡΑΛΗΣ ΚΩΝΣΤΑΝΤΙΝΟΣ</t>
        </is>
      </c>
      <c r="E21" s="16" t="inlineStr">
        <is>
          <t>ERGO Health Care Simple</t>
        </is>
      </c>
      <c r="F21" s="16" t="inlineStr">
        <is>
          <t>Υγεία</t>
        </is>
      </c>
      <c r="G21" s="9" t="inlineStr">
        <is>
          <t>Εξάμηνο</t>
        </is>
      </c>
      <c r="H21" s="9" t="inlineStr">
        <is>
          <t>1 έτη</t>
        </is>
      </c>
      <c r="I21" s="9" t="n">
        <v>2</v>
      </c>
      <c r="J21" s="6" t="n">
        <v>322.09</v>
      </c>
      <c r="K21" s="6" t="n">
        <v>0</v>
      </c>
      <c r="L21" s="10">
        <f>K21/J21</f>
        <v/>
      </c>
      <c r="M21" s="6" t="n">
        <v>15.79</v>
      </c>
      <c r="N21" s="10">
        <f>M21/J21</f>
        <v/>
      </c>
      <c r="O21" s="6">
        <f>K21+M21</f>
        <v/>
      </c>
      <c r="P21" s="10">
        <f>O21/J21</f>
        <v/>
      </c>
      <c r="Q21" s="5" t="inlineStr">
        <is>
          <t>€300.000 / περιστατικό</t>
        </is>
      </c>
      <c r="R21" s="5" t="inlineStr">
        <is>
          <t>Β' Θέση (Δίκλινο)</t>
        </is>
      </c>
      <c r="S21" s="5" t="inlineStr">
        <is>
          <t>Δίκτυο 4U</t>
        </is>
      </c>
      <c r="T21" s="5" t="inlineStr">
        <is>
          <t>€1.500</t>
        </is>
      </c>
      <c r="U21" s="5" t="inlineStr">
        <is>
          <t>€500 Επείγοντα</t>
        </is>
      </c>
      <c r="V21" s="5" t="inlineStr">
        <is>
          <t>€100/ημέρα</t>
        </is>
      </c>
      <c r="W21" s="5" t="inlineStr">
        <is>
          <t>ERGOLIFE Assistance 24/7</t>
        </is>
      </c>
    </row>
    <row r="22" ht="22" customHeight="1">
      <c r="A22" s="9" t="inlineStr">
        <is>
          <t>27/07/2026</t>
        </is>
      </c>
      <c r="B22" s="9" t="inlineStr">
        <is>
          <t>07/2026</t>
        </is>
      </c>
      <c r="C22" s="9" t="inlineStr">
        <is>
          <t>2026000161</t>
        </is>
      </c>
      <c r="D22" s="16" t="inlineStr">
        <is>
          <t>ΤΕΖΚΟΣΑΡ ΑΓΛΑΙΑ</t>
        </is>
      </c>
      <c r="E22" s="16" t="inlineStr">
        <is>
          <t>ERGO Health Care Advanced</t>
        </is>
      </c>
      <c r="F22" s="16" t="inlineStr">
        <is>
          <t>Υγεία</t>
        </is>
      </c>
      <c r="G22" s="9" t="inlineStr">
        <is>
          <t>Τρίμηνο</t>
        </is>
      </c>
      <c r="H22" s="9" t="inlineStr">
        <is>
          <t>1 έτη</t>
        </is>
      </c>
      <c r="I22" s="9" t="n">
        <v>1</v>
      </c>
      <c r="J22" s="6" t="n">
        <v>414.55</v>
      </c>
      <c r="K22" s="6" t="n">
        <v>116.18</v>
      </c>
      <c r="L22" s="10">
        <f>K22/J22</f>
        <v/>
      </c>
      <c r="M22" s="6" t="n">
        <v>23.24</v>
      </c>
      <c r="N22" s="10">
        <f>M22/J22</f>
        <v/>
      </c>
      <c r="O22" s="6">
        <f>K22+M22</f>
        <v/>
      </c>
      <c r="P22" s="10">
        <f>O22/J22</f>
        <v/>
      </c>
      <c r="Q22" s="5" t="inlineStr">
        <is>
          <t>€300.000 / περιστατικό</t>
        </is>
      </c>
      <c r="R22" s="5" t="inlineStr">
        <is>
          <t>Α' Θέση (Μονόκλινο)</t>
        </is>
      </c>
      <c r="S22" s="5" t="inlineStr">
        <is>
          <t>100% Δίκτυο 4U &amp; Αναγνωρισμένα</t>
        </is>
      </c>
      <c r="T22" s="5" t="inlineStr">
        <is>
          <t>€500 / €1.500</t>
        </is>
      </c>
      <c r="U22" s="5" t="inlineStr">
        <is>
          <t>€750 Επείγοντα + Διαγνωστικά Δικτύου</t>
        </is>
      </c>
      <c r="V22" s="5" t="inlineStr">
        <is>
          <t>€120/ημέρα Νοσοκομειακό</t>
        </is>
      </c>
      <c r="W22" s="5" t="inlineStr">
        <is>
          <t>ERGOLIFE Assistance 24/7, ΑΠΑ</t>
        </is>
      </c>
    </row>
    <row r="23" ht="24" customHeight="1">
      <c r="F23" s="12" t="inlineStr">
        <is>
          <t>ΣΥΝΟΛΑ:</t>
        </is>
      </c>
      <c r="J23" s="8">
        <f>SUM(J5:J22)</f>
        <v/>
      </c>
      <c r="K23" s="8">
        <f>SUM(K5:K22)</f>
        <v/>
      </c>
      <c r="L23" s="13">
        <f>K23/J23</f>
        <v/>
      </c>
      <c r="M23" s="8">
        <f>SUM(M5:M22)</f>
        <v/>
      </c>
      <c r="N23" s="13">
        <f>M23/J23</f>
        <v/>
      </c>
      <c r="O23" s="8">
        <f>SUM(O5:O22)</f>
        <v/>
      </c>
      <c r="P23" s="13">
        <f>O23/J23</f>
        <v/>
      </c>
    </row>
  </sheetData>
  <mergeCells count="2">
    <mergeCell ref="A2:W2"/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2026-08-13T12:20:39Z</dcterms:created>
  <dcterms:modified xmlns:dcterms="http://purl.org/dc/terms/" xmlns:xsi="http://www.w3.org/2001/XMLSchema-instance" xsi:type="dcterms:W3CDTF">2026-08-13T13:00:56Z</dcterms:modified>
</cp:coreProperties>
</file>