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Πίνακας Προμηθειών ΔΑΣ" sheetId="1" state="visible" r:id="rId1"/>
    <sheet xmlns:r="http://schemas.openxmlformats.org/officeDocument/2006/relationships" name="1. Υπολογιστής &amp; Καταχώρηση" sheetId="2" state="visible" r:id="rId2"/>
    <sheet xmlns:r="http://schemas.openxmlformats.org/officeDocument/2006/relationships" name="2. Καλύψεις Υγείας" sheetId="3" state="visible" r:id="rId3"/>
    <sheet xmlns:r="http://schemas.openxmlformats.org/officeDocument/2006/relationships" name="3. Καλύψεις Ζωής &amp; Αποταμίευσης" sheetId="4" state="visible" r:id="rId4"/>
    <sheet xmlns:r="http://schemas.openxmlformats.org/officeDocument/2006/relationships" name="4. Καλύψεις Ομαδικών" sheetId="5" state="visible" r:id="rId5"/>
    <sheet xmlns:r="http://schemas.openxmlformats.org/officeDocument/2006/relationships" name="6. Πριμ &amp; Bonus" sheetId="6" state="visible" r:id="rId6"/>
    <sheet xmlns:r="http://schemas.openxmlformats.org/officeDocument/2006/relationships" name="7. Αρχείο Συμβολαίων" sheetId="7" state="visible" r:id="rId7"/>
    <sheet xmlns:r="http://schemas.openxmlformats.org/officeDocument/2006/relationships" name="8. Εισπράξεις Εταιρίας" sheetId="8" state="visible" r:id="rId8"/>
    <sheet xmlns:r="http://schemas.openxmlformats.org/officeDocument/2006/relationships" name="Καλύψεις &amp; Ποσοστά Συμβολαίων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\€"/>
    <numFmt numFmtId="165" formatCode="#,##0.00 €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E8EEF5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1B365D"/>
      <sz val="11"/>
    </font>
    <font>
      <name val="Calibri"/>
      <b val="1"/>
      <color rgb="FF000000"/>
      <sz val="11"/>
    </font>
    <font>
      <name val="Calibri"/>
      <b val="1"/>
      <color rgb="00FFFFFF"/>
      <sz val="16"/>
    </font>
    <font>
      <name val="Calibri"/>
      <i val="1"/>
      <color rgb="00E8EEF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005F73"/>
        <bgColor rgb="FF005F73"/>
      </patternFill>
    </fill>
    <fill>
      <patternFill patternType="solid">
        <fgColor rgb="FFE8EEF5"/>
        <bgColor rgb="FFE8EEF5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4F6F9"/>
        <bgColor rgb="FFF4F6F9"/>
      </patternFill>
    </fill>
    <fill>
      <patternFill patternType="solid">
        <fgColor rgb="001B365D"/>
        <bgColor rgb="001B365D"/>
      </patternFill>
    </fill>
    <fill>
      <patternFill patternType="solid">
        <fgColor rgb="00005F73"/>
        <bgColor rgb="00005F73"/>
      </patternFill>
    </fill>
    <fill>
      <patternFill patternType="solid">
        <fgColor rgb="00FFF3CD"/>
        <bgColor rgb="00FFF3CD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0" fontId="4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0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0" fontId="6" fillId="0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10" fontId="6" fillId="5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4" pivotButton="0" quotePrefix="0" xfId="0"/>
    <xf numFmtId="164" fontId="6" fillId="5" borderId="2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9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left" vertical="center"/>
    </xf>
    <xf numFmtId="165" fontId="10" fillId="0" borderId="8" applyAlignment="1" pivotButton="0" quotePrefix="0" xfId="0">
      <alignment horizontal="right" vertical="center"/>
    </xf>
    <xf numFmtId="10" fontId="11" fillId="0" borderId="8" applyAlignment="1" pivotButton="0" quotePrefix="0" xfId="0">
      <alignment horizontal="right" vertical="center"/>
    </xf>
    <xf numFmtId="0" fontId="10" fillId="0" borderId="8" applyAlignment="1" pivotButton="0" quotePrefix="0" xfId="0">
      <alignment horizontal="left" vertical="center"/>
    </xf>
    <xf numFmtId="0" fontId="11" fillId="0" borderId="9" applyAlignment="1" pivotButton="0" quotePrefix="0" xfId="0">
      <alignment horizontal="right" vertical="center"/>
    </xf>
    <xf numFmtId="165" fontId="11" fillId="10" borderId="9" applyAlignment="1" pivotButton="0" quotePrefix="0" xfId="0">
      <alignment horizontal="right" vertical="center"/>
    </xf>
    <xf numFmtId="10" fontId="11" fillId="10" borderId="9" applyAlignment="1" pivotButton="0" quotePrefix="0" xfId="0">
      <alignment horizontal="right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:J1"/>
    </sheetView>
  </sheetViews>
  <sheetFormatPr baseColWidth="8" defaultRowHeight="15"/>
  <cols>
    <col width="12" customWidth="1" style="24" min="1" max="1"/>
    <col width="16" customWidth="1" style="24" min="2" max="2"/>
    <col width="44" customWidth="1" style="24" min="3" max="3"/>
    <col width="14" customWidth="1" style="24" min="4" max="4"/>
    <col width="18" customWidth="1" style="24" min="5" max="7"/>
    <col width="22" customWidth="1" style="24" min="8" max="9"/>
    <col width="35" customWidth="1" style="24" min="10" max="10"/>
  </cols>
  <sheetData>
    <row r="1" ht="39.95" customHeight="1" s="24">
      <c r="A1" s="23" t="inlineStr">
        <is>
          <t>ERGO - ΠΙΝΑΚΑΣ ΠΡΟΜΗΘΕΙΩΝ ΚΑΝΟΝΙΣΜΟΥ ΠΩΛΗΣΕΩΝ ΔΑΣ (ΔΙΚΤΥΟ ΑΝΕΞΑΡΤΗΤΩΝ ΣΥΝΕΡΓΑΤΩΝ)</t>
        </is>
      </c>
    </row>
    <row r="2" ht="20.1" customHeight="1" s="24">
      <c r="A2" s="25" t="inlineStr">
        <is>
          <t>Ποσοστά προμηθειών πράκτορα ανά κατηγορία (Α, Β, Γ), έτος συμβολαίου &amp; υπερπρομήθειες (overrides) γραφείου</t>
        </is>
      </c>
    </row>
    <row r="4" ht="27.95" customHeight="1" s="24">
      <c r="A4" s="1" t="inlineStr">
        <is>
          <t>Κωδικός</t>
        </is>
      </c>
      <c r="B4" s="1" t="inlineStr">
        <is>
          <t>Κλάδος</t>
        </is>
      </c>
      <c r="C4" s="1" t="inlineStr">
        <is>
          <t>Ονομασία Προϊόντος / Παροχής</t>
        </is>
      </c>
      <c r="D4" s="1" t="inlineStr">
        <is>
          <t>Έτος</t>
        </is>
      </c>
      <c r="E4" s="1" t="inlineStr">
        <is>
          <t>Κατηγορία Α (%)</t>
        </is>
      </c>
      <c r="F4" s="1" t="inlineStr">
        <is>
          <t>Κατηγορία Β (%)</t>
        </is>
      </c>
      <c r="G4" s="1" t="inlineStr">
        <is>
          <t>Κατηγορία Γ (%)</t>
        </is>
      </c>
      <c r="H4" s="1" t="inlineStr">
        <is>
          <t>Override Unit Manager (%)</t>
        </is>
      </c>
      <c r="I4" s="1" t="inlineStr">
        <is>
          <t>Override Agency Manager (%)</t>
        </is>
      </c>
      <c r="J4" s="1" t="inlineStr">
        <is>
          <t>Σημειώσεις / Προϋποθέσεις</t>
        </is>
      </c>
    </row>
    <row r="5" ht="20.1" customHeight="1" s="24">
      <c r="A5" s="2" t="inlineStr">
        <is>
          <t>020118</t>
        </is>
      </c>
      <c r="B5" s="3" t="inlineStr">
        <is>
          <t>Υγεία</t>
        </is>
      </c>
      <c r="C5" s="3" t="inlineStr">
        <is>
          <t>ERGO Health Care (Simple, Advanced, Superior)</t>
        </is>
      </c>
      <c r="D5" s="2" t="inlineStr">
        <is>
          <t>1ο Έτος</t>
        </is>
      </c>
      <c r="E5" s="4" t="n">
        <v>0.29</v>
      </c>
      <c r="F5" s="4" t="n">
        <v>0.319</v>
      </c>
      <c r="G5" s="4" t="n">
        <v>0.348</v>
      </c>
      <c r="H5" s="4" t="n">
        <v>0.1</v>
      </c>
      <c r="I5" s="4" t="n">
        <v>0.1</v>
      </c>
      <c r="J5" s="3" t="inlineStr">
        <is>
          <t>Πρωτοετής προμήθεια υγείας</t>
        </is>
      </c>
    </row>
    <row r="6" ht="20.1" customHeight="1" s="24">
      <c r="A6" s="2" t="inlineStr">
        <is>
          <t>020118</t>
        </is>
      </c>
      <c r="B6" s="3" t="inlineStr">
        <is>
          <t>Υγεία</t>
        </is>
      </c>
      <c r="C6" s="3" t="inlineStr">
        <is>
          <t>ERGO Health Care (Simple, Advanced, Superior)</t>
        </is>
      </c>
      <c r="D6" s="2" t="inlineStr">
        <is>
          <t>2ο Έτος</t>
        </is>
      </c>
      <c r="E6" s="4" t="n">
        <v>0.25</v>
      </c>
      <c r="F6" s="4" t="n">
        <v>0.275</v>
      </c>
      <c r="G6" s="4" t="n">
        <v>0.3</v>
      </c>
      <c r="H6" s="4" t="n">
        <v>0.1</v>
      </c>
      <c r="I6" s="4" t="n">
        <v>0.1</v>
      </c>
      <c r="J6" s="3" t="inlineStr">
        <is>
          <t>Ανανέωση υγείας</t>
        </is>
      </c>
    </row>
    <row r="7" ht="20.1" customHeight="1" s="24">
      <c r="A7" s="2" t="inlineStr">
        <is>
          <t>020118</t>
        </is>
      </c>
      <c r="B7" s="3" t="inlineStr">
        <is>
          <t>Υγεία</t>
        </is>
      </c>
      <c r="C7" s="3" t="inlineStr">
        <is>
          <t>ERGO Health Care (Simple, Advanced, Superior)</t>
        </is>
      </c>
      <c r="D7" s="2" t="inlineStr">
        <is>
          <t>3ο Έτος</t>
        </is>
      </c>
      <c r="E7" s="4" t="n">
        <v>0.25</v>
      </c>
      <c r="F7" s="4" t="n">
        <v>0.275</v>
      </c>
      <c r="G7" s="4" t="n">
        <v>0.3</v>
      </c>
      <c r="H7" s="4" t="n">
        <v>0.1</v>
      </c>
      <c r="I7" s="4" t="n">
        <v>0.1</v>
      </c>
      <c r="J7" s="3" t="inlineStr">
        <is>
          <t>Ανανέωση υγείας</t>
        </is>
      </c>
    </row>
    <row r="8" ht="20.1" customHeight="1" s="24">
      <c r="A8" s="2" t="inlineStr">
        <is>
          <t>020118</t>
        </is>
      </c>
      <c r="B8" s="3" t="inlineStr">
        <is>
          <t>Υγεία</t>
        </is>
      </c>
      <c r="C8" s="3" t="inlineStr">
        <is>
          <t>ERGO Health Care (Simple, Advanced, Superior)</t>
        </is>
      </c>
      <c r="D8" s="2" t="inlineStr">
        <is>
          <t>4ο-6ο Έτος</t>
        </is>
      </c>
      <c r="E8" s="4" t="n">
        <v>0.25</v>
      </c>
      <c r="F8" s="4" t="n">
        <v>0.275</v>
      </c>
      <c r="G8" s="4" t="n">
        <v>0.3</v>
      </c>
      <c r="H8" s="4" t="n">
        <v>0.1</v>
      </c>
      <c r="I8" s="4" t="n">
        <v>0.1</v>
      </c>
      <c r="J8" s="3" t="inlineStr">
        <is>
          <t>Ανανέωση υγείας</t>
        </is>
      </c>
    </row>
    <row r="9" ht="20.1" customHeight="1" s="24">
      <c r="A9" s="2" t="inlineStr">
        <is>
          <t>020118</t>
        </is>
      </c>
      <c r="B9" s="3" t="inlineStr">
        <is>
          <t>Υγεία</t>
        </is>
      </c>
      <c r="C9" s="3" t="inlineStr">
        <is>
          <t>ERGO Health Care (Simple, Advanced, Superior)</t>
        </is>
      </c>
      <c r="D9" s="2" t="inlineStr">
        <is>
          <t>7ο+ Έτος</t>
        </is>
      </c>
      <c r="E9" s="4" t="n">
        <v>0.25</v>
      </c>
      <c r="F9" s="4" t="n">
        <v>0.275</v>
      </c>
      <c r="G9" s="4" t="n">
        <v>0.3</v>
      </c>
      <c r="H9" s="4" t="n">
        <v>0.1</v>
      </c>
      <c r="I9" s="4" t="n">
        <v>0.1</v>
      </c>
      <c r="J9" s="3" t="inlineStr">
        <is>
          <t>Ανανέωση υγείας</t>
        </is>
      </c>
    </row>
    <row r="10" ht="20.1" customHeight="1" s="24">
      <c r="A10" s="2" t="inlineStr">
        <is>
          <t>020119</t>
        </is>
      </c>
      <c r="B10" s="3" t="inlineStr">
        <is>
          <t>Υγεία</t>
        </is>
      </c>
      <c r="C10" s="3" t="inlineStr">
        <is>
          <t>ERGO Best Health</t>
        </is>
      </c>
      <c r="D10" s="2" t="inlineStr">
        <is>
          <t>1ο Έτος</t>
        </is>
      </c>
      <c r="E10" s="4" t="n">
        <v>0.26</v>
      </c>
      <c r="F10" s="4" t="n">
        <v>0.286</v>
      </c>
      <c r="G10" s="4" t="n">
        <v>0.312</v>
      </c>
      <c r="H10" s="4" t="n">
        <v>0.1</v>
      </c>
      <c r="I10" s="4" t="n">
        <v>0.1</v>
      </c>
      <c r="J10" s="3" t="inlineStr">
        <is>
          <t>Πρωτοετής προμήθεια Best Health</t>
        </is>
      </c>
    </row>
    <row r="11" ht="20.1" customHeight="1" s="24">
      <c r="A11" s="2" t="inlineStr">
        <is>
          <t>020119</t>
        </is>
      </c>
      <c r="B11" s="3" t="inlineStr">
        <is>
          <t>Υγεία</t>
        </is>
      </c>
      <c r="C11" s="3" t="inlineStr">
        <is>
          <t>ERGO Best Health</t>
        </is>
      </c>
      <c r="D11" s="2" t="inlineStr">
        <is>
          <t>2ο Έτος</t>
        </is>
      </c>
      <c r="E11" s="4" t="n">
        <v>0.23</v>
      </c>
      <c r="F11" s="4" t="n">
        <v>0.253</v>
      </c>
      <c r="G11" s="4" t="n">
        <v>0.276</v>
      </c>
      <c r="H11" s="4" t="n">
        <v>0.1</v>
      </c>
      <c r="I11" s="4" t="n">
        <v>0.1</v>
      </c>
      <c r="J11" s="3" t="inlineStr">
        <is>
          <t>Ανανέωση Best Health</t>
        </is>
      </c>
    </row>
    <row r="12" ht="20.1" customHeight="1" s="24">
      <c r="A12" s="2" t="inlineStr">
        <is>
          <t>020119</t>
        </is>
      </c>
      <c r="B12" s="3" t="inlineStr">
        <is>
          <t>Υγεία</t>
        </is>
      </c>
      <c r="C12" s="3" t="inlineStr">
        <is>
          <t>ERGO Best Health</t>
        </is>
      </c>
      <c r="D12" s="2" t="inlineStr">
        <is>
          <t>3ο Έτος</t>
        </is>
      </c>
      <c r="E12" s="4" t="n">
        <v>0.23</v>
      </c>
      <c r="F12" s="4" t="n">
        <v>0.253</v>
      </c>
      <c r="G12" s="4" t="n">
        <v>0.276</v>
      </c>
      <c r="H12" s="4" t="n">
        <v>0.1</v>
      </c>
      <c r="I12" s="4" t="n">
        <v>0.1</v>
      </c>
      <c r="J12" s="3" t="inlineStr">
        <is>
          <t>Ανανέωση Best Health</t>
        </is>
      </c>
    </row>
    <row r="13" ht="20.1" customHeight="1" s="24">
      <c r="A13" s="2" t="inlineStr">
        <is>
          <t>020119</t>
        </is>
      </c>
      <c r="B13" s="3" t="inlineStr">
        <is>
          <t>Υγεία</t>
        </is>
      </c>
      <c r="C13" s="3" t="inlineStr">
        <is>
          <t>ERGO Best Health</t>
        </is>
      </c>
      <c r="D13" s="2" t="inlineStr">
        <is>
          <t>4ο-6ο Έτος</t>
        </is>
      </c>
      <c r="E13" s="4" t="n">
        <v>0.23</v>
      </c>
      <c r="F13" s="4" t="n">
        <v>0.253</v>
      </c>
      <c r="G13" s="4" t="n">
        <v>0.276</v>
      </c>
      <c r="H13" s="4" t="n">
        <v>0.1</v>
      </c>
      <c r="I13" s="4" t="n">
        <v>0.1</v>
      </c>
      <c r="J13" s="3" t="inlineStr">
        <is>
          <t>Ανανέωση Best Health</t>
        </is>
      </c>
    </row>
    <row r="14" ht="20.1" customHeight="1" s="24">
      <c r="A14" s="2" t="inlineStr">
        <is>
          <t>020119</t>
        </is>
      </c>
      <c r="B14" s="3" t="inlineStr">
        <is>
          <t>Υγεία</t>
        </is>
      </c>
      <c r="C14" s="3" t="inlineStr">
        <is>
          <t>ERGO Best Health</t>
        </is>
      </c>
      <c r="D14" s="2" t="inlineStr">
        <is>
          <t>7ο+ Έτος</t>
        </is>
      </c>
      <c r="E14" s="4" t="n">
        <v>0.23</v>
      </c>
      <c r="F14" s="4" t="n">
        <v>0.253</v>
      </c>
      <c r="G14" s="4" t="n">
        <v>0.276</v>
      </c>
      <c r="H14" s="4" t="n">
        <v>0.1</v>
      </c>
      <c r="I14" s="4" t="n">
        <v>0.1</v>
      </c>
      <c r="J14" s="3" t="inlineStr">
        <is>
          <t>Ανανέωση Best Health</t>
        </is>
      </c>
    </row>
    <row r="15" ht="20.1" customHeight="1" s="24">
      <c r="A15" s="2" t="inlineStr">
        <is>
          <t>110118</t>
        </is>
      </c>
      <c r="B15" s="3" t="inlineStr">
        <is>
          <t>Ζωή</t>
        </is>
      </c>
      <c r="C15" s="3" t="inlineStr">
        <is>
          <t>ERGO Life - Ισόβια Ασφάλιση Θανάτου</t>
        </is>
      </c>
      <c r="D15" s="2" t="inlineStr">
        <is>
          <t>1ο Έτος</t>
        </is>
      </c>
      <c r="E15" s="4" t="n">
        <v>0.5</v>
      </c>
      <c r="F15" s="4" t="n">
        <v>0.55</v>
      </c>
      <c r="G15" s="4" t="n">
        <v>0.6</v>
      </c>
      <c r="H15" s="4" t="n">
        <v>0.1</v>
      </c>
      <c r="I15" s="4" t="n">
        <v>0.2</v>
      </c>
      <c r="J15" s="3" t="inlineStr">
        <is>
          <t>1ο έτος Ισόβιας</t>
        </is>
      </c>
    </row>
    <row r="16" ht="20.1" customHeight="1" s="24">
      <c r="A16" s="2" t="inlineStr">
        <is>
          <t>110118</t>
        </is>
      </c>
      <c r="B16" s="3" t="inlineStr">
        <is>
          <t>Ζωή</t>
        </is>
      </c>
      <c r="C16" s="3" t="inlineStr">
        <is>
          <t>ERGO Life - Ισόβια Ασφάλιση Θανάτου</t>
        </is>
      </c>
      <c r="D16" s="2" t="inlineStr">
        <is>
          <t>2ο Έτος</t>
        </is>
      </c>
      <c r="E16" s="4" t="n">
        <v>0.15</v>
      </c>
      <c r="F16" s="4" t="n">
        <v>0.165</v>
      </c>
      <c r="G16" s="4" t="n">
        <v>0.18</v>
      </c>
      <c r="H16" s="4" t="n">
        <v>0.1</v>
      </c>
      <c r="I16" s="4" t="n">
        <v>0.1</v>
      </c>
      <c r="J16" s="3" t="inlineStr">
        <is>
          <t>2ο έτος Ισόβιας</t>
        </is>
      </c>
    </row>
    <row r="17" ht="20.1" customHeight="1" s="24">
      <c r="A17" s="2" t="inlineStr">
        <is>
          <t>110118</t>
        </is>
      </c>
      <c r="B17" s="3" t="inlineStr">
        <is>
          <t>Ζωή</t>
        </is>
      </c>
      <c r="C17" s="3" t="inlineStr">
        <is>
          <t>ERGO Life - Ισόβια Ασφάλιση Θανάτου</t>
        </is>
      </c>
      <c r="D17" s="2" t="inlineStr">
        <is>
          <t>3ο Έτος</t>
        </is>
      </c>
      <c r="E17" s="4" t="n">
        <v>0.08</v>
      </c>
      <c r="F17" s="4" t="n">
        <v>0.08799999999999999</v>
      </c>
      <c r="G17" s="4" t="n">
        <v>0.096</v>
      </c>
      <c r="H17" s="4" t="n">
        <v>0.1</v>
      </c>
      <c r="I17" s="4" t="n">
        <v>0.1</v>
      </c>
      <c r="J17" s="3" t="inlineStr">
        <is>
          <t>3ο έτος Ισόβιας</t>
        </is>
      </c>
    </row>
    <row r="18" ht="20.1" customHeight="1" s="24">
      <c r="A18" s="2" t="inlineStr">
        <is>
          <t>110118</t>
        </is>
      </c>
      <c r="B18" s="3" t="inlineStr">
        <is>
          <t>Ζωή</t>
        </is>
      </c>
      <c r="C18" s="3" t="inlineStr">
        <is>
          <t>ERGO Life - Ισόβια Ασφάλιση Θανάτου</t>
        </is>
      </c>
      <c r="D18" s="2" t="inlineStr">
        <is>
          <t>4ο-6ο Έτος</t>
        </is>
      </c>
      <c r="E18" s="4" t="n">
        <v>0.05</v>
      </c>
      <c r="F18" s="4" t="n">
        <v>0.055</v>
      </c>
      <c r="G18" s="4" t="n">
        <v>0.06</v>
      </c>
      <c r="H18" s="4" t="n">
        <v>0.1</v>
      </c>
      <c r="I18" s="4" t="n">
        <v>0.1</v>
      </c>
      <c r="J18" s="3" t="inlineStr">
        <is>
          <t>4ο-6ο έτος Ισόβιας</t>
        </is>
      </c>
    </row>
    <row r="19" ht="20.1" customHeight="1" s="24">
      <c r="A19" s="2" t="inlineStr">
        <is>
          <t>110118</t>
        </is>
      </c>
      <c r="B19" s="3" t="inlineStr">
        <is>
          <t>Ζωή</t>
        </is>
      </c>
      <c r="C19" s="3" t="inlineStr">
        <is>
          <t>ERGO Life - Ισόβια Ασφάλιση Θανάτου</t>
        </is>
      </c>
      <c r="D19" s="2" t="inlineStr">
        <is>
          <t>7ο+ Έτος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3" t="inlineStr">
        <is>
          <t>7ο+ έτος Ισόβιας</t>
        </is>
      </c>
    </row>
    <row r="20" ht="20.1" customHeight="1" s="24">
      <c r="A20" s="2" t="inlineStr">
        <is>
          <t>110318</t>
        </is>
      </c>
      <c r="B20" s="3" t="inlineStr">
        <is>
          <t>Ζωή</t>
        </is>
      </c>
      <c r="C20" s="3" t="inlineStr">
        <is>
          <t>ERGO Life - Πρόσκαιρη Ασφάλιση Θανάτου</t>
        </is>
      </c>
      <c r="D20" s="2" t="inlineStr">
        <is>
          <t>1ο Έτος</t>
        </is>
      </c>
      <c r="E20" s="4" t="n">
        <v>0.25</v>
      </c>
      <c r="F20" s="4" t="n">
        <v>0.275</v>
      </c>
      <c r="G20" s="4" t="n">
        <v>0.3</v>
      </c>
      <c r="H20" s="4" t="n">
        <v>0.1</v>
      </c>
      <c r="I20" s="4" t="n">
        <v>0.2</v>
      </c>
      <c r="J20" s="3" t="inlineStr">
        <is>
          <t>1ο έτος Πρόσκαιρης</t>
        </is>
      </c>
    </row>
    <row r="21" ht="20.1" customHeight="1" s="24">
      <c r="A21" s="2" t="inlineStr">
        <is>
          <t>110318</t>
        </is>
      </c>
      <c r="B21" s="3" t="inlineStr">
        <is>
          <t>Ζωή</t>
        </is>
      </c>
      <c r="C21" s="3" t="inlineStr">
        <is>
          <t>ERGO Life - Πρόσκαιρη Ασφάλιση Θανάτου</t>
        </is>
      </c>
      <c r="D21" s="2" t="inlineStr">
        <is>
          <t>2ο Έτος</t>
        </is>
      </c>
      <c r="E21" s="4" t="n">
        <v>0.2</v>
      </c>
      <c r="F21" s="4" t="n">
        <v>0.22</v>
      </c>
      <c r="G21" s="4" t="n">
        <v>0.24</v>
      </c>
      <c r="H21" s="4" t="n">
        <v>0.1</v>
      </c>
      <c r="I21" s="4" t="n">
        <v>0.1</v>
      </c>
      <c r="J21" s="3" t="inlineStr">
        <is>
          <t>2ο έτος Πρόσκαιρης</t>
        </is>
      </c>
    </row>
    <row r="22" ht="20.1" customHeight="1" s="24">
      <c r="A22" s="2" t="inlineStr">
        <is>
          <t>110318</t>
        </is>
      </c>
      <c r="B22" s="3" t="inlineStr">
        <is>
          <t>Ζωή</t>
        </is>
      </c>
      <c r="C22" s="3" t="inlineStr">
        <is>
          <t>ERGO Life - Πρόσκαιρη Ασφάλιση Θανάτου</t>
        </is>
      </c>
      <c r="D22" s="2" t="inlineStr">
        <is>
          <t>3ο Έτος</t>
        </is>
      </c>
      <c r="E22" s="4" t="n">
        <v>0.12</v>
      </c>
      <c r="F22" s="4" t="n">
        <v>0.132</v>
      </c>
      <c r="G22" s="4" t="n">
        <v>0.144</v>
      </c>
      <c r="H22" s="4" t="n">
        <v>0.1</v>
      </c>
      <c r="I22" s="4" t="n">
        <v>0.1</v>
      </c>
      <c r="J22" s="3" t="inlineStr">
        <is>
          <t>3ο έτος Πρόσκαιρης</t>
        </is>
      </c>
    </row>
    <row r="23" ht="20.1" customHeight="1" s="24">
      <c r="A23" s="2" t="inlineStr">
        <is>
          <t>110318</t>
        </is>
      </c>
      <c r="B23" s="3" t="inlineStr">
        <is>
          <t>Ζωή</t>
        </is>
      </c>
      <c r="C23" s="3" t="inlineStr">
        <is>
          <t>ERGO Life - Πρόσκαιρη Ασφάλιση Θανάτου</t>
        </is>
      </c>
      <c r="D23" s="2" t="inlineStr">
        <is>
          <t>4ο-6ο Έτος</t>
        </is>
      </c>
      <c r="E23" s="4" t="n">
        <v>0.06</v>
      </c>
      <c r="F23" s="4" t="n">
        <v>0.066</v>
      </c>
      <c r="G23" s="4" t="n">
        <v>0.07199999999999999</v>
      </c>
      <c r="H23" s="4" t="n">
        <v>0.1</v>
      </c>
      <c r="I23" s="4" t="n">
        <v>0.1</v>
      </c>
      <c r="J23" s="3" t="inlineStr">
        <is>
          <t>4ο-6ο έτος Πρόσκαιρης</t>
        </is>
      </c>
    </row>
    <row r="24" ht="20.1" customHeight="1" s="24">
      <c r="A24" s="2" t="inlineStr">
        <is>
          <t>110318</t>
        </is>
      </c>
      <c r="B24" s="3" t="inlineStr">
        <is>
          <t>Ζωή</t>
        </is>
      </c>
      <c r="C24" s="3" t="inlineStr">
        <is>
          <t>ERGO Life - Πρόσκαιρη Ασφάλιση Θανάτου</t>
        </is>
      </c>
      <c r="D24" s="2" t="inlineStr">
        <is>
          <t>7ο+ Έτος</t>
        </is>
      </c>
      <c r="E24" s="4" t="n">
        <v>0.05</v>
      </c>
      <c r="F24" s="4" t="n">
        <v>0.055</v>
      </c>
      <c r="G24" s="4" t="n">
        <v>0.06</v>
      </c>
      <c r="H24" s="4" t="n">
        <v>0.1</v>
      </c>
      <c r="I24" s="4" t="n">
        <v>0.1</v>
      </c>
      <c r="J24" s="3" t="inlineStr">
        <is>
          <t>7ο+ έτος Πρόσκαιρης</t>
        </is>
      </c>
    </row>
    <row r="25" ht="20.1" customHeight="1" s="24">
      <c r="A25" s="2" t="inlineStr">
        <is>
          <t>990119</t>
        </is>
      </c>
      <c r="B25" s="3" t="inlineStr">
        <is>
          <t>Αποταμίευση</t>
        </is>
      </c>
      <c r="C25" s="3" t="inlineStr">
        <is>
          <t>ERGO My Saving Simple &amp; Junior</t>
        </is>
      </c>
      <c r="D25" s="2" t="inlineStr">
        <is>
          <t>1ο Έτος</t>
        </is>
      </c>
      <c r="E25" s="4" t="n">
        <v>0.1458</v>
      </c>
      <c r="F25" s="4" t="n">
        <v>0.1604</v>
      </c>
      <c r="G25" s="4" t="n">
        <v>0.175</v>
      </c>
      <c r="H25" s="4" t="n">
        <v>0.1</v>
      </c>
      <c r="I25" s="4" t="n">
        <v>0.1</v>
      </c>
      <c r="J25" s="3" t="inlineStr">
        <is>
          <t>1ο έτος Αποταμίευσης</t>
        </is>
      </c>
    </row>
    <row r="26" ht="20.1" customHeight="1" s="24">
      <c r="A26" s="2" t="inlineStr">
        <is>
          <t>990119</t>
        </is>
      </c>
      <c r="B26" s="3" t="inlineStr">
        <is>
          <t>Αποταμίευση</t>
        </is>
      </c>
      <c r="C26" s="3" t="inlineStr">
        <is>
          <t>ERGO My Saving Simple &amp; Junior</t>
        </is>
      </c>
      <c r="D26" s="2" t="inlineStr">
        <is>
          <t>2ο Έτος</t>
        </is>
      </c>
      <c r="E26" s="4" t="n">
        <v>0.0667</v>
      </c>
      <c r="F26" s="4" t="n">
        <v>0.0733</v>
      </c>
      <c r="G26" s="4" t="n">
        <v>0.08</v>
      </c>
      <c r="H26" s="4" t="n">
        <v>0.1</v>
      </c>
      <c r="I26" s="4" t="n">
        <v>0.1</v>
      </c>
      <c r="J26" s="3" t="inlineStr">
        <is>
          <t>2ο έτος Αποταμίευσης</t>
        </is>
      </c>
    </row>
    <row r="27" ht="20.1" customHeight="1" s="24">
      <c r="A27" s="2" t="inlineStr">
        <is>
          <t>990119</t>
        </is>
      </c>
      <c r="B27" s="3" t="inlineStr">
        <is>
          <t>Αποταμίευση</t>
        </is>
      </c>
      <c r="C27" s="3" t="inlineStr">
        <is>
          <t>ERGO My Saving Simple &amp; Junior</t>
        </is>
      </c>
      <c r="D27" s="2" t="inlineStr">
        <is>
          <t>3ο Έτος</t>
        </is>
      </c>
      <c r="E27" s="4" t="n">
        <v>0.0417</v>
      </c>
      <c r="F27" s="4" t="n">
        <v>0.0458</v>
      </c>
      <c r="G27" s="4" t="n">
        <v>0.05</v>
      </c>
      <c r="H27" s="4" t="n">
        <v>0.1</v>
      </c>
      <c r="I27" s="4" t="n">
        <v>0.1</v>
      </c>
      <c r="J27" s="3" t="inlineStr">
        <is>
          <t>3ο έτος Αποταμίευσης</t>
        </is>
      </c>
    </row>
    <row r="28" ht="20.1" customHeight="1" s="24">
      <c r="A28" s="2" t="inlineStr">
        <is>
          <t>990119</t>
        </is>
      </c>
      <c r="B28" s="3" t="inlineStr">
        <is>
          <t>Αποταμίευση</t>
        </is>
      </c>
      <c r="C28" s="3" t="inlineStr">
        <is>
          <t>ERGO My Saving Simple &amp; Junior</t>
        </is>
      </c>
      <c r="D28" s="2" t="inlineStr">
        <is>
          <t>4ο-6ο Έτος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3" t="inlineStr">
        <is>
          <t>4ο+ έτος</t>
        </is>
      </c>
    </row>
    <row r="29" ht="20.1" customHeight="1" s="24">
      <c r="A29" s="2" t="inlineStr">
        <is>
          <t>990119</t>
        </is>
      </c>
      <c r="B29" s="3" t="inlineStr">
        <is>
          <t>Αποταμίευση</t>
        </is>
      </c>
      <c r="C29" s="3" t="inlineStr">
        <is>
          <t>ERGO My Saving Simple &amp; Junior</t>
        </is>
      </c>
      <c r="D29" s="2" t="inlineStr">
        <is>
          <t>7ο+ Έτος</t>
        </is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3" t="inlineStr">
        <is>
          <t>7ο+ έτος</t>
        </is>
      </c>
    </row>
    <row r="30" ht="20.1" customHeight="1" s="24">
      <c r="A30" s="2" t="inlineStr">
        <is>
          <t>030122</t>
        </is>
      </c>
      <c r="B30" s="3" t="inlineStr">
        <is>
          <t>Unit-Linked</t>
        </is>
      </c>
      <c r="C30" s="3" t="inlineStr">
        <is>
          <t>ERGO My Fund Flex Plan</t>
        </is>
      </c>
      <c r="D30" s="2" t="inlineStr">
        <is>
          <t>1ο Έτος</t>
        </is>
      </c>
      <c r="E30" s="4" t="n">
        <v>0.2208</v>
      </c>
      <c r="F30" s="4" t="n">
        <v>0.2429</v>
      </c>
      <c r="G30" s="4" t="n">
        <v>0.265</v>
      </c>
      <c r="H30" s="4" t="n">
        <v>0.1</v>
      </c>
      <c r="I30" s="4" t="n">
        <v>0.1</v>
      </c>
      <c r="J30" s="3" t="inlineStr">
        <is>
          <t>1ο έτος Flex Plan (€480-€750)</t>
        </is>
      </c>
    </row>
    <row r="31" ht="20.1" customHeight="1" s="24">
      <c r="A31" s="2" t="inlineStr">
        <is>
          <t>030122</t>
        </is>
      </c>
      <c r="B31" s="3" t="inlineStr">
        <is>
          <t>Unit-Linked</t>
        </is>
      </c>
      <c r="C31" s="3" t="inlineStr">
        <is>
          <t>ERGO My Fund Flex Plan</t>
        </is>
      </c>
      <c r="D31" s="2" t="inlineStr">
        <is>
          <t>2ο Έτος</t>
        </is>
      </c>
      <c r="E31" s="4" t="n">
        <v>0.15</v>
      </c>
      <c r="F31" s="4" t="n">
        <v>0.165</v>
      </c>
      <c r="G31" s="4" t="n">
        <v>0.18</v>
      </c>
      <c r="H31" s="4" t="n">
        <v>0.1</v>
      </c>
      <c r="I31" s="4" t="n">
        <v>0.1</v>
      </c>
      <c r="J31" s="3" t="inlineStr">
        <is>
          <t>2ο έτος Flex Plan</t>
        </is>
      </c>
    </row>
    <row r="32" ht="20.1" customHeight="1" s="24">
      <c r="A32" s="2" t="inlineStr">
        <is>
          <t>030122</t>
        </is>
      </c>
      <c r="B32" s="3" t="inlineStr">
        <is>
          <t>Unit-Linked</t>
        </is>
      </c>
      <c r="C32" s="3" t="inlineStr">
        <is>
          <t>ERGO My Fund Flex Plan</t>
        </is>
      </c>
      <c r="D32" s="2" t="inlineStr">
        <is>
          <t>3ο Έτος</t>
        </is>
      </c>
      <c r="E32" s="4" t="n">
        <v>0.0333</v>
      </c>
      <c r="F32" s="4" t="n">
        <v>0.0367</v>
      </c>
      <c r="G32" s="4" t="n">
        <v>0.04</v>
      </c>
      <c r="H32" s="4" t="n">
        <v>0.1</v>
      </c>
      <c r="I32" s="4" t="n">
        <v>0.1</v>
      </c>
      <c r="J32" s="3" t="inlineStr">
        <is>
          <t>3ο έτος Flex Plan</t>
        </is>
      </c>
    </row>
    <row r="33" ht="20.1" customHeight="1" s="24">
      <c r="A33" s="2" t="inlineStr">
        <is>
          <t>030122</t>
        </is>
      </c>
      <c r="B33" s="3" t="inlineStr">
        <is>
          <t>Unit-Linked</t>
        </is>
      </c>
      <c r="C33" s="3" t="inlineStr">
        <is>
          <t>ERGO My Fund Flex Plan</t>
        </is>
      </c>
      <c r="D33" s="2" t="inlineStr">
        <is>
          <t>4ο-6ο Έτος</t>
        </is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3" t="inlineStr">
        <is>
          <t>4ο+ έτος</t>
        </is>
      </c>
    </row>
    <row r="34" ht="20.1" customHeight="1" s="24">
      <c r="A34" s="2" t="inlineStr">
        <is>
          <t>030122</t>
        </is>
      </c>
      <c r="B34" s="3" t="inlineStr">
        <is>
          <t>Unit-Linked</t>
        </is>
      </c>
      <c r="C34" s="3" t="inlineStr">
        <is>
          <t>ERGO My Fund Flex Plan</t>
        </is>
      </c>
      <c r="D34" s="2" t="inlineStr">
        <is>
          <t>7ο+ Έτος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3" t="inlineStr">
        <is>
          <t>7ο+ έτος</t>
        </is>
      </c>
    </row>
    <row r="35" ht="20.1" customHeight="1" s="24">
      <c r="A35" s="2" t="inlineStr">
        <is>
          <t>030222</t>
        </is>
      </c>
      <c r="B35" s="3" t="inlineStr">
        <is>
          <t>Unit-Linked</t>
        </is>
      </c>
      <c r="C35" s="3" t="inlineStr">
        <is>
          <t>ERGO My Fund Invest Plan</t>
        </is>
      </c>
      <c r="D35" s="2" t="inlineStr">
        <is>
          <t>1ο Έτος</t>
        </is>
      </c>
      <c r="E35" s="4" t="n">
        <v>0.0142</v>
      </c>
      <c r="F35" s="4" t="n">
        <v>0.0156</v>
      </c>
      <c r="G35" s="4" t="n">
        <v>0.017</v>
      </c>
      <c r="H35" s="4" t="n">
        <v>0.1</v>
      </c>
      <c r="I35" s="4" t="n">
        <v>0.1</v>
      </c>
      <c r="J35" s="3" t="inlineStr">
        <is>
          <t>Εφάπαξ €4k-€10k</t>
        </is>
      </c>
    </row>
    <row r="36" ht="20.1" customHeight="1" s="24">
      <c r="A36" s="2" t="inlineStr">
        <is>
          <t>030222</t>
        </is>
      </c>
      <c r="B36" s="3" t="inlineStr">
        <is>
          <t>Unit-Linked</t>
        </is>
      </c>
      <c r="C36" s="3" t="inlineStr">
        <is>
          <t>ERGO My Fund Invest Plan</t>
        </is>
      </c>
      <c r="D36" s="2" t="inlineStr">
        <is>
          <t>2ο Έτος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3" t="inlineStr">
        <is>
          <t>Εφάπαξ - 2ο έτος</t>
        </is>
      </c>
    </row>
    <row r="37" ht="20.1" customHeight="1" s="24">
      <c r="A37" s="2" t="inlineStr">
        <is>
          <t>030222</t>
        </is>
      </c>
      <c r="B37" s="3" t="inlineStr">
        <is>
          <t>Unit-Linked</t>
        </is>
      </c>
      <c r="C37" s="3" t="inlineStr">
        <is>
          <t>ERGO My Fund Invest Plan</t>
        </is>
      </c>
      <c r="D37" s="2" t="inlineStr">
        <is>
          <t>3ο Έτος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3" t="inlineStr">
        <is>
          <t>Εφάπαξ - 3ο έτος</t>
        </is>
      </c>
    </row>
    <row r="38" ht="20.1" customHeight="1" s="24">
      <c r="A38" s="2" t="inlineStr">
        <is>
          <t>030222</t>
        </is>
      </c>
      <c r="B38" s="3" t="inlineStr">
        <is>
          <t>Unit-Linked</t>
        </is>
      </c>
      <c r="C38" s="3" t="inlineStr">
        <is>
          <t>ERGO My Fund Invest Plan</t>
        </is>
      </c>
      <c r="D38" s="2" t="inlineStr">
        <is>
          <t>4ο-6ο Έτος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3" t="inlineStr">
        <is>
          <t>Εφάπαξ - 4ο έτος</t>
        </is>
      </c>
    </row>
    <row r="39" ht="20.1" customHeight="1" s="24">
      <c r="A39" s="2" t="inlineStr">
        <is>
          <t>030222</t>
        </is>
      </c>
      <c r="B39" s="3" t="inlineStr">
        <is>
          <t>Unit-Linked</t>
        </is>
      </c>
      <c r="C39" s="3" t="inlineStr">
        <is>
          <t>ERGO My Fund Invest Plan</t>
        </is>
      </c>
      <c r="D39" s="2" t="inlineStr">
        <is>
          <t>7ο+ Έτος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3" t="inlineStr">
        <is>
          <t>Εφάπαξ - 7ο έτος</t>
        </is>
      </c>
    </row>
    <row r="40" ht="20.1" customHeight="1" s="24">
      <c r="A40" s="2" t="inlineStr">
        <is>
          <t>GROUP01</t>
        </is>
      </c>
      <c r="B40" s="3" t="inlineStr">
        <is>
          <t>Ομαδικά</t>
        </is>
      </c>
      <c r="C40" s="3" t="inlineStr">
        <is>
          <t>ERGO My People - Βασική Ασφάλιση Θανάτου</t>
        </is>
      </c>
      <c r="D40" s="2" t="inlineStr">
        <is>
          <t>1ο Έτος</t>
        </is>
      </c>
      <c r="E40" s="4" t="n">
        <v>0.08</v>
      </c>
      <c r="F40" s="4" t="n">
        <v>0.08</v>
      </c>
      <c r="G40" s="4" t="n">
        <v>0.08</v>
      </c>
      <c r="H40" s="4" t="n">
        <v>0.1</v>
      </c>
      <c r="I40" s="4" t="n">
        <v>0.1</v>
      </c>
      <c r="J40" s="3" t="inlineStr">
        <is>
          <t>Βασική Ομαδική Θανάτου</t>
        </is>
      </c>
    </row>
    <row r="41" ht="20.1" customHeight="1" s="24">
      <c r="A41" s="2" t="inlineStr">
        <is>
          <t>GROUP01</t>
        </is>
      </c>
      <c r="B41" s="3" t="inlineStr">
        <is>
          <t>Ομαδικά</t>
        </is>
      </c>
      <c r="C41" s="3" t="inlineStr">
        <is>
          <t>ERGO My People - Βασική Ασφάλιση Θανάτου</t>
        </is>
      </c>
      <c r="D41" s="2" t="inlineStr">
        <is>
          <t>2ο Έτος</t>
        </is>
      </c>
      <c r="E41" s="4" t="n">
        <v>0.08</v>
      </c>
      <c r="F41" s="4" t="n">
        <v>0.08</v>
      </c>
      <c r="G41" s="4" t="n">
        <v>0.08</v>
      </c>
      <c r="H41" s="4" t="n">
        <v>0.1</v>
      </c>
      <c r="I41" s="4" t="n">
        <v>0.1</v>
      </c>
      <c r="J41" s="3" t="inlineStr">
        <is>
          <t>Ανανέωση Ομαδικού</t>
        </is>
      </c>
    </row>
    <row r="42" ht="20.1" customHeight="1" s="24">
      <c r="A42" s="2" t="inlineStr">
        <is>
          <t>GROUP01</t>
        </is>
      </c>
      <c r="B42" s="3" t="inlineStr">
        <is>
          <t>Ομαδικά</t>
        </is>
      </c>
      <c r="C42" s="3" t="inlineStr">
        <is>
          <t>ERGO My People - Βασική Ασφάλιση Θανάτου</t>
        </is>
      </c>
      <c r="D42" s="2" t="inlineStr">
        <is>
          <t>3ο Έτος</t>
        </is>
      </c>
      <c r="E42" s="4" t="n">
        <v>0.08</v>
      </c>
      <c r="F42" s="4" t="n">
        <v>0.08</v>
      </c>
      <c r="G42" s="4" t="n">
        <v>0.08</v>
      </c>
      <c r="H42" s="4" t="n">
        <v>0.1</v>
      </c>
      <c r="I42" s="4" t="n">
        <v>0.1</v>
      </c>
      <c r="J42" s="3" t="inlineStr">
        <is>
          <t>Ανανέωση Ομαδικού</t>
        </is>
      </c>
    </row>
    <row r="43" ht="20.1" customHeight="1" s="24">
      <c r="A43" s="2" t="inlineStr">
        <is>
          <t>GROUP01</t>
        </is>
      </c>
      <c r="B43" s="3" t="inlineStr">
        <is>
          <t>Ομαδικά</t>
        </is>
      </c>
      <c r="C43" s="3" t="inlineStr">
        <is>
          <t>ERGO My People - Βασική Ασφάλιση Θανάτου</t>
        </is>
      </c>
      <c r="D43" s="2" t="inlineStr">
        <is>
          <t>4ο-6ο Έτος</t>
        </is>
      </c>
      <c r="E43" s="4" t="n">
        <v>0.08</v>
      </c>
      <c r="F43" s="4" t="n">
        <v>0.08</v>
      </c>
      <c r="G43" s="4" t="n">
        <v>0.08</v>
      </c>
      <c r="H43" s="4" t="n">
        <v>0.1</v>
      </c>
      <c r="I43" s="4" t="n">
        <v>0.1</v>
      </c>
      <c r="J43" s="3" t="inlineStr">
        <is>
          <t>Ανανέωση Ομαδικού</t>
        </is>
      </c>
    </row>
    <row r="44" ht="20.1" customHeight="1" s="24">
      <c r="A44" s="2" t="inlineStr">
        <is>
          <t>GROUP01</t>
        </is>
      </c>
      <c r="B44" s="3" t="inlineStr">
        <is>
          <t>Ομαδικά</t>
        </is>
      </c>
      <c r="C44" s="3" t="inlineStr">
        <is>
          <t>ERGO My People - Βασική Ασφάλιση Θανάτου</t>
        </is>
      </c>
      <c r="D44" s="2" t="inlineStr">
        <is>
          <t>7ο+ Έτος</t>
        </is>
      </c>
      <c r="E44" s="4" t="n">
        <v>0.08</v>
      </c>
      <c r="F44" s="4" t="n">
        <v>0.08</v>
      </c>
      <c r="G44" s="4" t="n">
        <v>0.08</v>
      </c>
      <c r="H44" s="4" t="n">
        <v>0.1</v>
      </c>
      <c r="I44" s="4" t="n">
        <v>0.1</v>
      </c>
      <c r="J44" s="3" t="inlineStr">
        <is>
          <t>Ανανέωση Ομαδικού</t>
        </is>
      </c>
    </row>
    <row r="45" ht="20.1" customHeight="1" s="24">
      <c r="A45" s="2" t="inlineStr">
        <is>
          <t>GROUP02</t>
        </is>
      </c>
      <c r="B45" s="3" t="inlineStr">
        <is>
          <t>Ομαδικά</t>
        </is>
      </c>
      <c r="C45" s="3" t="inlineStr">
        <is>
          <t>ERGO My People - Συμπληρωματικές Καλύψεις</t>
        </is>
      </c>
      <c r="D45" s="2" t="inlineStr">
        <is>
          <t>1ο Έτος</t>
        </is>
      </c>
      <c r="E45" s="4" t="n">
        <v>0.15</v>
      </c>
      <c r="F45" s="4" t="n">
        <v>0.15</v>
      </c>
      <c r="G45" s="4" t="n">
        <v>0.15</v>
      </c>
      <c r="H45" s="4" t="n">
        <v>0.1</v>
      </c>
      <c r="I45" s="4" t="n">
        <v>0.1</v>
      </c>
      <c r="J45" s="3" t="inlineStr">
        <is>
          <t>Συμπληρωματικά Ομαδικά</t>
        </is>
      </c>
    </row>
    <row r="46" ht="20.1" customHeight="1" s="24">
      <c r="A46" s="2" t="inlineStr">
        <is>
          <t>GROUP02</t>
        </is>
      </c>
      <c r="B46" s="3" t="inlineStr">
        <is>
          <t>Ομαδικά</t>
        </is>
      </c>
      <c r="C46" s="3" t="inlineStr">
        <is>
          <t>ERGO My People - Συμπληρωματικές Καλύψεις</t>
        </is>
      </c>
      <c r="D46" s="2" t="inlineStr">
        <is>
          <t>2ο Έτος</t>
        </is>
      </c>
      <c r="E46" s="4" t="n">
        <v>0.15</v>
      </c>
      <c r="F46" s="4" t="n">
        <v>0.15</v>
      </c>
      <c r="G46" s="4" t="n">
        <v>0.15</v>
      </c>
      <c r="H46" s="4" t="n">
        <v>0.1</v>
      </c>
      <c r="I46" s="4" t="n">
        <v>0.1</v>
      </c>
      <c r="J46" s="3" t="inlineStr">
        <is>
          <t>Ανανέωση Συμπληρωματικών</t>
        </is>
      </c>
    </row>
    <row r="47" ht="20.1" customHeight="1" s="24">
      <c r="A47" s="2" t="inlineStr">
        <is>
          <t>GROUP02</t>
        </is>
      </c>
      <c r="B47" s="3" t="inlineStr">
        <is>
          <t>Ομαδικά</t>
        </is>
      </c>
      <c r="C47" s="3" t="inlineStr">
        <is>
          <t>ERGO My People - Συμπληρωματικές Καλύψεις</t>
        </is>
      </c>
      <c r="D47" s="2" t="inlineStr">
        <is>
          <t>3ο Έτος</t>
        </is>
      </c>
      <c r="E47" s="4" t="n">
        <v>0.15</v>
      </c>
      <c r="F47" s="4" t="n">
        <v>0.15</v>
      </c>
      <c r="G47" s="4" t="n">
        <v>0.15</v>
      </c>
      <c r="H47" s="4" t="n">
        <v>0.1</v>
      </c>
      <c r="I47" s="4" t="n">
        <v>0.1</v>
      </c>
      <c r="J47" s="3" t="inlineStr">
        <is>
          <t>Ανανέωση Συμπληρωματικών</t>
        </is>
      </c>
    </row>
    <row r="48" ht="20.1" customHeight="1" s="24">
      <c r="A48" s="2" t="inlineStr">
        <is>
          <t>GROUP02</t>
        </is>
      </c>
      <c r="B48" s="3" t="inlineStr">
        <is>
          <t>Ομαδικά</t>
        </is>
      </c>
      <c r="C48" s="3" t="inlineStr">
        <is>
          <t>ERGO My People - Συμπληρωματικές Καλύψεις</t>
        </is>
      </c>
      <c r="D48" s="2" t="inlineStr">
        <is>
          <t>4ο-6ο Έτος</t>
        </is>
      </c>
      <c r="E48" s="4" t="n">
        <v>0.15</v>
      </c>
      <c r="F48" s="4" t="n">
        <v>0.15</v>
      </c>
      <c r="G48" s="4" t="n">
        <v>0.15</v>
      </c>
      <c r="H48" s="4" t="n">
        <v>0.1</v>
      </c>
      <c r="I48" s="4" t="n">
        <v>0.1</v>
      </c>
      <c r="J48" s="3" t="inlineStr">
        <is>
          <t>Ανανέωση Συμπληρωματικών</t>
        </is>
      </c>
    </row>
    <row r="49" ht="20.1" customHeight="1" s="24">
      <c r="A49" s="2" t="inlineStr">
        <is>
          <t>GROUP02</t>
        </is>
      </c>
      <c r="B49" s="3" t="inlineStr">
        <is>
          <t>Ομαδικά</t>
        </is>
      </c>
      <c r="C49" s="3" t="inlineStr">
        <is>
          <t>ERGO My People - Συμπληρωματικές Καλύψεις</t>
        </is>
      </c>
      <c r="D49" s="2" t="inlineStr">
        <is>
          <t>7ο+ Έτος</t>
        </is>
      </c>
      <c r="E49" s="4" t="n">
        <v>0.15</v>
      </c>
      <c r="F49" s="4" t="n">
        <v>0.15</v>
      </c>
      <c r="G49" s="4" t="n">
        <v>0.15</v>
      </c>
      <c r="H49" s="4" t="n">
        <v>0.1</v>
      </c>
      <c r="I49" s="4" t="n">
        <v>0.1</v>
      </c>
      <c r="J49" s="3" t="inlineStr">
        <is>
          <t>Ανανέωση Συμπληρωματικών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:G1"/>
    </sheetView>
  </sheetViews>
  <sheetFormatPr baseColWidth="8" defaultRowHeight="15"/>
  <cols>
    <col width="30" customWidth="1" style="24" min="1" max="1"/>
    <col width="28" customWidth="1" style="24" min="2" max="2"/>
    <col width="22" customWidth="1" style="24" min="3" max="4"/>
    <col width="36" customWidth="1" style="24" min="5" max="5"/>
    <col width="22" customWidth="1" style="24" min="6" max="6"/>
    <col width="26" customWidth="1" style="24" min="7" max="7"/>
  </cols>
  <sheetData>
    <row r="1" ht="36" customHeight="1" s="24">
      <c r="A1" s="23" t="inlineStr">
        <is>
          <t>ERGO - ΥΠΟΛΟΓΙΣΤΗΣ ΠΡΟΜΗΘΕΙΩΝ, ΥΠΕΡΠΡΟΜΗΘΕΙΩΝ &amp; ΚΑΛΥΨΕΩΝ ΣΥΜΒΟΛΑΙΟΥ</t>
        </is>
      </c>
    </row>
    <row r="2" ht="20.1" customHeight="1" s="24">
      <c r="A2" s="25" t="inlineStr">
        <is>
          <t>Επιλέξτε παραμέτρους συμβολαίου για αυτόματο υπολογισμό δικαιωμάτων &amp; προβολή ορίων καλύψεων</t>
        </is>
      </c>
    </row>
    <row r="4" ht="24" customHeight="1" s="24">
      <c r="A4" s="32" t="inlineStr">
        <is>
          <t>1. ΣТОΙΧΕΙΑ ΣΥΜΒΟΛΑΙΟΥ (ΕΙΣΑΓΩΓΗ ΧΡΗΣΤΗ)</t>
        </is>
      </c>
      <c r="E4" s="31" t="inlineStr">
        <is>
          <t>2. ΑΠΟΤΕΛΕΣΜΑΤΑ ΥΠΟΛΟΓΙΣΜΟΥ (ΑΥТОΜΑΤΑ)</t>
        </is>
      </c>
    </row>
    <row r="5" ht="21.95" customHeight="1" s="24">
      <c r="A5" s="26" t="inlineStr">
        <is>
          <t>Κλάδος Ασφάλισης:</t>
        </is>
      </c>
      <c r="B5" s="28" t="inlineStr">
        <is>
          <t>Υγεία</t>
        </is>
      </c>
      <c r="C5" s="29" t="n"/>
      <c r="E5" s="26" t="inlineStr">
        <is>
          <t>Ποσοστό Προμήθειας Συνεργάτη (%):</t>
        </is>
      </c>
      <c r="G5" s="6">
        <f>SUMIFS('5. Πίνακας Προμηθειών ΔΑΣ'!F5:F44, '5. Πίνακας Προμηθειών ΔΑΣ'!C5:C44, B6, '5. Πίνακας Προμηθειών ΔΑΣ'!D5:D44, B7)</f>
        <v/>
      </c>
    </row>
    <row r="6" ht="21.95" customHeight="1" s="24">
      <c r="A6" s="26" t="inlineStr">
        <is>
          <t>Προϊόν / Πρόγραμμα:</t>
        </is>
      </c>
      <c r="B6" s="28" t="inlineStr">
        <is>
          <t>ERGO Health Care (Simple, Advanced, Superior)</t>
        </is>
      </c>
      <c r="C6" s="29" t="n"/>
      <c r="E6" s="26" t="inlineStr">
        <is>
          <t>Ποσό Προμήθειας Συνεργάτη (€):</t>
        </is>
      </c>
      <c r="G6" s="7">
        <f>B10 * G5</f>
        <v/>
      </c>
    </row>
    <row r="7" ht="21.95" customHeight="1" s="24">
      <c r="A7" s="26" t="inlineStr">
        <is>
          <t>Έτος Συμβολαίου:</t>
        </is>
      </c>
      <c r="B7" s="28" t="inlineStr">
        <is>
          <t>1ο Έτος</t>
        </is>
      </c>
      <c r="C7" s="29" t="n"/>
      <c r="E7" s="26" t="inlineStr">
        <is>
          <t>Υπερπρομήθεια / Override Γραφείου (%):</t>
        </is>
      </c>
      <c r="G7" s="6">
        <f>SUMIFS('5. Πίνακας Προμηθειών ΔΑΣ'!H5:H44, '5. Πίνακας Προμηθειών ΔΑΣ'!C5:C44, B6, '5. Πίνακας Προμηθειών ΔΑΣ'!D5:D44, B7)</f>
        <v/>
      </c>
    </row>
    <row r="8" ht="21.95" customHeight="1" s="24">
      <c r="A8" s="26" t="inlineStr">
        <is>
          <t>Κατηγορία Συνεργάτη:</t>
        </is>
      </c>
      <c r="B8" s="28" t="inlineStr">
        <is>
          <t>Κατηγορία Β</t>
        </is>
      </c>
      <c r="C8" s="29" t="n"/>
      <c r="E8" s="26" t="inlineStr">
        <is>
          <t>Ποσό Υπερπρομήθειας Γραφείου (€):</t>
        </is>
      </c>
      <c r="G8" s="7">
        <f>B10 * G7</f>
        <v/>
      </c>
    </row>
    <row r="9" ht="21.95" customHeight="1" s="24">
      <c r="A9" s="26" t="inlineStr">
        <is>
          <t>Δομή / Ρόλος:</t>
        </is>
      </c>
      <c r="B9" s="28" t="inlineStr">
        <is>
          <t>Unit Manager (Δ')</t>
        </is>
      </c>
      <c r="C9" s="29" t="n"/>
      <c r="E9" s="26" t="inlineStr">
        <is>
          <t>Συνολικό Όφελος Γραφείου &amp; Δικτύου (€):</t>
        </is>
      </c>
      <c r="G9" s="7">
        <f>G6 + G8</f>
        <v/>
      </c>
    </row>
    <row r="10" ht="21.95" customHeight="1" s="24">
      <c r="A10" s="26" t="inlineStr">
        <is>
          <t>Καθαρά Ετήσια Ασφάλιστρα (€):</t>
        </is>
      </c>
      <c r="B10" s="30" t="n">
        <v>1000</v>
      </c>
      <c r="C10" s="29" t="n"/>
      <c r="E10" s="26" t="inlineStr">
        <is>
          <t>Εκτιμώμενο Bonus Νέας Παραγωγής (%):</t>
        </is>
      </c>
      <c r="G10" s="6">
        <f>IF(B5="Υγεία", 0.03, IF(B5="Unit-Linked", 0.07, 0))</f>
        <v/>
      </c>
    </row>
    <row r="13" ht="26.1" customHeight="1" s="24">
      <c r="A13" s="27" t="inlineStr">
        <is>
          <t>3. ΑΝΑΛΥΤΙΚΟΣ ΠΙΝΑΚΑΣ ΚΑΛΥΨΕΩΝ &amp; ΠΑΡΟΧΩΝ ΕΠΙΛΕΓΜΕΝΟΥ ΣΥΜΒΟΛΑΙΟΥ</t>
        </is>
      </c>
    </row>
    <row r="14" ht="24" customHeight="1" s="24">
      <c r="A14" s="9" t="inlineStr">
        <is>
          <t>Κατηγορία Κάλυψης</t>
        </is>
      </c>
      <c r="B14" s="9" t="inlineStr">
        <is>
          <t>Παροχή / Κάλυψη</t>
        </is>
      </c>
      <c r="C14" s="9" t="inlineStr">
        <is>
          <t>Simple / Βασική</t>
        </is>
      </c>
      <c r="D14" s="9" t="inlineStr">
        <is>
          <t>Advanced / Πλήρης</t>
        </is>
      </c>
      <c r="E14" s="9" t="inlineStr">
        <is>
          <t>Superior / Ανώτερη</t>
        </is>
      </c>
      <c r="F14" s="9" t="inlineStr">
        <is>
          <t>Απαλλαγή / Όρια</t>
        </is>
      </c>
      <c r="G14" s="9" t="inlineStr">
        <is>
          <t>Δίκτυο &amp; Βοήθεια</t>
        </is>
      </c>
    </row>
    <row r="15" ht="35.25" customHeight="1" s="24">
      <c r="A15" s="10" t="inlineStr">
        <is>
          <t>Νοσηλεία</t>
        </is>
      </c>
      <c r="B15" s="3" t="inlineStr">
        <is>
          <t>Ανώτατο Όριο Κάλυψης ανά περιστατικό / έτος</t>
        </is>
      </c>
      <c r="C15" s="3" t="inlineStr">
        <is>
          <t>€300.000 / περιστατικό</t>
        </is>
      </c>
      <c r="D15" s="3" t="inlineStr">
        <is>
          <t>€300.000 / περιστατικό</t>
        </is>
      </c>
      <c r="E15" s="3" t="inlineStr">
        <is>
          <t>€500.000 / ασφαλιστικό έτος</t>
        </is>
      </c>
      <c r="F15" s="3" t="inlineStr">
        <is>
          <t>Ανάλογα με την επιλογή</t>
        </is>
      </c>
      <c r="G15" s="3" t="inlineStr">
        <is>
          <t>Παγκόσμια Κάλυψη</t>
        </is>
      </c>
    </row>
    <row r="16" ht="33" customHeight="1" s="24">
      <c r="A16" s="10" t="inlineStr">
        <is>
          <t>Νοσηλεία</t>
        </is>
      </c>
      <c r="B16" s="3" t="inlineStr">
        <is>
          <t>Θέση Νοσηλείας σε Ιδιωτικά Νοσοκομεία</t>
        </is>
      </c>
      <c r="C16" s="3" t="inlineStr">
        <is>
          <t>Β' Θέση (Δίκλινο)</t>
        </is>
      </c>
      <c r="D16" s="3" t="inlineStr">
        <is>
          <t>Α' Θέση (Μονόκλινο)</t>
        </is>
      </c>
      <c r="E16" s="3" t="inlineStr">
        <is>
          <t>Α' Θέση (Μονόκλινο)</t>
        </is>
      </c>
      <c r="F16" s="3" t="inlineStr">
        <is>
          <t>Μείωση απαλλαγής σε χαμηλότερη θέση</t>
        </is>
      </c>
      <c r="G16" s="3" t="inlineStr">
        <is>
          <t>Ελλάδα &amp; Εξωτερικό</t>
        </is>
      </c>
    </row>
    <row r="17" ht="33" customHeight="1" s="24">
      <c r="A17" s="10" t="inlineStr">
        <is>
          <t>Νοσηλεία</t>
        </is>
      </c>
      <c r="B17" s="3" t="inlineStr">
        <is>
          <t>Αποκλειστικό Δίκτυο «4U» &amp; Συμβεβλημένα</t>
        </is>
      </c>
      <c r="C17" s="3" t="inlineStr">
        <is>
          <t>100% Κάλυψη εντός 4U</t>
        </is>
      </c>
      <c r="D17" s="3" t="inlineStr">
        <is>
          <t>100% Κάλυψη εντός 4U</t>
        </is>
      </c>
      <c r="E17" s="3" t="inlineStr">
        <is>
          <t>100% Κάλυψη εντός 4U</t>
        </is>
      </c>
      <c r="F17" s="3" t="inlineStr">
        <is>
          <t>€0 / €500 / €1.500 / €3.000</t>
        </is>
      </c>
      <c r="G17" s="3" t="inlineStr">
        <is>
          <t>Άμεση κάλυψη</t>
        </is>
      </c>
    </row>
    <row r="18" ht="36.75" customHeight="1" s="24">
      <c r="A18" s="10" t="inlineStr">
        <is>
          <t>Χειρουργική</t>
        </is>
      </c>
      <c r="B18" s="3" t="inlineStr">
        <is>
          <t>Αμοιβές Χειρουργού &amp; Αναισθησιολόγου</t>
        </is>
      </c>
      <c r="C18" s="3" t="inlineStr">
        <is>
          <t>100% βάσει πίνακα</t>
        </is>
      </c>
      <c r="D18" s="3" t="inlineStr">
        <is>
          <t>100% βάσει πίνακα</t>
        </is>
      </c>
      <c r="E18" s="3" t="inlineStr">
        <is>
          <t>100% βάσει πίνακα</t>
        </is>
      </c>
      <c r="F18" s="3" t="inlineStr">
        <is>
          <t>Εντός ορίου νοσηλείας</t>
        </is>
      </c>
      <c r="G18" s="3" t="inlineStr">
        <is>
          <t>Ελεύθερη επιλογή</t>
        </is>
      </c>
    </row>
    <row r="19" ht="33.75" customHeight="1" s="24">
      <c r="A19" s="10" t="inlineStr">
        <is>
          <t>ΜΕΘ</t>
        </is>
      </c>
      <c r="B19" s="3" t="inlineStr">
        <is>
          <t>Μονάδα Εντατικής Θεραπείας &amp; Αυξημένης Φροντίδας</t>
        </is>
      </c>
      <c r="C19" s="3" t="inlineStr">
        <is>
          <t>100% Κάλυψη</t>
        </is>
      </c>
      <c r="D19" s="3" t="inlineStr">
        <is>
          <t>100% Κάλυψη</t>
        </is>
      </c>
      <c r="E19" s="3" t="inlineStr">
        <is>
          <t>100% Κάλυψη</t>
        </is>
      </c>
      <c r="F19" s="3" t="inlineStr">
        <is>
          <t>Χωρίς υπο-όριο</t>
        </is>
      </c>
      <c r="G19" s="3" t="inlineStr">
        <is>
          <t>Συμβεβλημένα &amp; Μη</t>
        </is>
      </c>
    </row>
    <row r="20" ht="26.25" customHeight="1" s="24">
      <c r="A20" s="10" t="inlineStr">
        <is>
          <t>Επείγοντα</t>
        </is>
      </c>
      <c r="B20" s="3" t="inlineStr">
        <is>
          <t>Επείγοντα Περιστατικά (Εξωτερικά Ιατρεία)</t>
        </is>
      </c>
      <c r="C20" s="3" t="inlineStr">
        <is>
          <t>€500 ανά περιστατικό</t>
        </is>
      </c>
      <c r="D20" s="3" t="inlineStr">
        <is>
          <t>€750 ανά περιστατικό</t>
        </is>
      </c>
      <c r="E20" s="3" t="inlineStr">
        <is>
          <t>€1.000 ανά περιστατικό</t>
        </is>
      </c>
      <c r="F20" s="3" t="inlineStr">
        <is>
          <t>Χωρίς απαλλαγή</t>
        </is>
      </c>
      <c r="G20" s="3" t="inlineStr">
        <is>
          <t>Δίκτυο 4U 24/7</t>
        </is>
      </c>
    </row>
    <row r="21" ht="36" customHeight="1" s="24">
      <c r="A21" s="10" t="inlineStr">
        <is>
          <t>Διαγνωστικά</t>
        </is>
      </c>
      <c r="B21" s="3" t="inlineStr">
        <is>
          <t>Εξωνοσοκομειακές Διαγνωστικές Εξετάσεις</t>
        </is>
      </c>
      <c r="C21" s="3" t="inlineStr">
        <is>
          <t>Προαιρετική κάλυψη</t>
        </is>
      </c>
      <c r="D21" s="3" t="inlineStr">
        <is>
          <t>Προαιρετική κάλυψη</t>
        </is>
      </c>
      <c r="E21" s="3" t="inlineStr">
        <is>
          <t>Περιλαμβάνεται (€2.000)</t>
        </is>
      </c>
      <c r="F21" s="3" t="inlineStr">
        <is>
          <t>€0 συμμετοχή στο Δίκτυο</t>
        </is>
      </c>
      <c r="G21" s="3" t="inlineStr">
        <is>
          <t>Συμβεβλημένα Διαγνωστικά</t>
        </is>
      </c>
    </row>
    <row r="22" ht="20.1" customHeight="1" s="24">
      <c r="A22" s="10" t="inlineStr">
        <is>
          <t>Επιδόματα</t>
        </is>
      </c>
      <c r="B22" s="3" t="inlineStr">
        <is>
          <t>Χειρουργικό &amp; Νοσοκομειακό Επίδομα</t>
        </is>
      </c>
      <c r="C22" s="3" t="inlineStr">
        <is>
          <t>Παρέχεται</t>
        </is>
      </c>
      <c r="D22" s="3" t="inlineStr">
        <is>
          <t>Παρέχεται</t>
        </is>
      </c>
      <c r="E22" s="3" t="inlineStr">
        <is>
          <t>Παρέχεται</t>
        </is>
      </c>
      <c r="F22" s="3" t="inlineStr">
        <is>
          <t>Σε δημόσιο νοσοκομείο</t>
        </is>
      </c>
      <c r="G22" s="3" t="inlineStr">
        <is>
          <t>Έως €150/ημέρα</t>
        </is>
      </c>
    </row>
    <row r="23" ht="32.25" customHeight="1" s="24">
      <c r="A23" s="10" t="inlineStr">
        <is>
          <t>Βοήθεια</t>
        </is>
      </c>
      <c r="B23" s="3" t="inlineStr">
        <is>
          <t>ERGOLIFE Assistance &amp; Υγειονομική Μεταφορά</t>
        </is>
      </c>
      <c r="C23" s="3" t="inlineStr">
        <is>
          <t>Πλήρης Κάλυψη 24/7</t>
        </is>
      </c>
      <c r="D23" s="3" t="inlineStr">
        <is>
          <t>Πλήρης Κάλυψη 24/7</t>
        </is>
      </c>
      <c r="E23" s="3" t="inlineStr">
        <is>
          <t>Πλήρης Κάλυψη 24/7</t>
        </is>
      </c>
      <c r="F23" s="3" t="inlineStr">
        <is>
          <t>Χωρίς χρέωση</t>
        </is>
      </c>
      <c r="G23" s="3" t="inlineStr">
        <is>
          <t>Τηλ. 210 6505555</t>
        </is>
      </c>
    </row>
    <row r="24" ht="36.75" customHeight="1" s="24">
      <c r="A24" s="10" t="inlineStr">
        <is>
          <t>Ζωή / Riders</t>
        </is>
      </c>
      <c r="B24" s="3" t="inlineStr">
        <is>
          <t>Θάνατος / Ατυχήματα / Ανικανότητα (Riders)</t>
        </is>
      </c>
      <c r="C24" s="3" t="inlineStr">
        <is>
          <t>Προαιρετικό κεφάλαιο</t>
        </is>
      </c>
      <c r="D24" s="3" t="inlineStr">
        <is>
          <t>Προαιρετικό κεφάλαιο</t>
        </is>
      </c>
      <c r="E24" s="3" t="inlineStr">
        <is>
          <t>Προαιρετικό κεφάλαιο</t>
        </is>
      </c>
      <c r="F24" s="3" t="inlineStr">
        <is>
          <t>Βάσει επιλογής λήπτη</t>
        </is>
      </c>
      <c r="G24" s="3" t="inlineStr">
        <is>
          <t>100% Αποζημίωση</t>
        </is>
      </c>
    </row>
    <row r="25" ht="30.75" customHeight="1" s="24">
      <c r="A25" s="10" t="inlineStr">
        <is>
          <t>Αποταμίευση</t>
        </is>
      </c>
      <c r="B25" s="3" t="inlineStr">
        <is>
          <t>Εγγυημένο Κεφάλαιο &amp; Απόδοση (My Saving)</t>
        </is>
      </c>
      <c r="C25" s="3" t="inlineStr">
        <is>
          <t>Εγγυημένο στη λήξη</t>
        </is>
      </c>
      <c r="D25" s="3" t="inlineStr">
        <is>
          <t>Εγγυημένο στη λήξη</t>
        </is>
      </c>
      <c r="E25" s="3" t="inlineStr">
        <is>
          <t>N/A</t>
        </is>
      </c>
      <c r="F25" s="3" t="inlineStr">
        <is>
          <t>Τακτικές καταβολές</t>
        </is>
      </c>
      <c r="G25" s="3" t="inlineStr">
        <is>
          <t>Ετήσια ενημέρωση</t>
        </is>
      </c>
    </row>
    <row r="26" ht="28.5" customHeight="1" s="24">
      <c r="A26" s="10" t="inlineStr">
        <is>
          <t>Ομαδικά</t>
        </is>
      </c>
      <c r="B26" s="3" t="inlineStr">
        <is>
          <t>Εταιρική Κάλυψη Προσωπικού (My People)</t>
        </is>
      </c>
      <c r="C26" s="3" t="inlineStr">
        <is>
          <t>Βασική Θανάτου/ΜΑ</t>
        </is>
      </c>
      <c r="D26" s="3" t="inlineStr">
        <is>
          <t>Νοσοκομειακή/Εξωνοσοκ.</t>
        </is>
      </c>
      <c r="E26" s="3" t="inlineStr">
        <is>
          <t>Επιδόματα &amp; Assistance</t>
        </is>
      </c>
      <c r="F26" s="3" t="inlineStr">
        <is>
          <t>Ελάχιστο 5 άτομα</t>
        </is>
      </c>
      <c r="G26" s="3" t="inlineStr">
        <is>
          <t>+5% Bonus Νέων</t>
        </is>
      </c>
    </row>
  </sheetData>
  <mergeCells count="17">
    <mergeCell ref="E9:F9"/>
    <mergeCell ref="A13:G13"/>
    <mergeCell ref="B6:C6"/>
    <mergeCell ref="E6:F6"/>
    <mergeCell ref="A1:G1"/>
    <mergeCell ref="B7:C7"/>
    <mergeCell ref="E7:F7"/>
    <mergeCell ref="E10:F10"/>
    <mergeCell ref="B5:C5"/>
    <mergeCell ref="B10:C10"/>
    <mergeCell ref="E5:F5"/>
    <mergeCell ref="A2:G2"/>
    <mergeCell ref="E4:G4"/>
    <mergeCell ref="B9:C9"/>
    <mergeCell ref="A4:C4"/>
    <mergeCell ref="B8:C8"/>
    <mergeCell ref="E8:F8"/>
  </mergeCells>
  <dataValidations count="5">
    <dataValidation sqref="B5" showDropDown="0" showInputMessage="0" showErrorMessage="0" allowBlank="0" type="list">
      <formula1>"Υγεία,Ζωή,Αποταμίευση,Unit-Linked,Ομαδικά"</formula1>
    </dataValidation>
    <dataValidation sqref="B6" showDropDown="0" showInputMessage="0" showErrorMessage="0" allowBlank="0" type="list">
      <formula1>_xlfn._LONGTEXT("ERGO Health Care (Simple, Advanced, Superior),ERGO Best Health,ERGO Life - Ισόβια Ασφάλιση Θανάτου,ERGO Life - Πρόσκαιρη Ασφάλιση Θανάτου,ERGO My Saving Simple &amp; Junior,ERGO My Fund Flex Plan,ERGO My Fund Invest Plan,ERGO My People - Βασική Ασφάλιση Θανάτ","ου,ERGO My People - Συμπληρωματικές Καλύψεις")</formula1>
    </dataValidation>
    <dataValidation sqref="B7" showDropDown="0" showInputMessage="0" showErrorMessage="0" allowBlank="0" type="list">
      <formula1>"1ο Έτος,2ο Έτος,3ο Έτος,4ο-6ο Έτος,7ο+ Έτος"</formula1>
    </dataValidation>
    <dataValidation sqref="B8" showDropDown="0" showInputMessage="0" showErrorMessage="0" allowBlank="0" type="list">
      <formula1>"Κατηγορία Α,Κατηγορία Β,Κατηγορία Γ"</formula1>
    </dataValidation>
    <dataValidation sqref="B9" showDropDown="0" showInputMessage="0" showErrorMessage="0" allowBlank="0" type="list">
      <formula1>"Απευθείας Πράκτορας,Unit Manager (Δ'),Agency Manager (Β')"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RowHeight="15"/>
  <cols>
    <col width="32" customWidth="1" style="24" min="1" max="1"/>
    <col width="26" customWidth="1" style="24" min="2" max="3"/>
    <col width="28" customWidth="1" style="24" min="4" max="4"/>
    <col width="24" customWidth="1" style="24" min="5" max="5"/>
    <col width="30" customWidth="1" style="24" min="6" max="6"/>
  </cols>
  <sheetData>
    <row r="1" ht="36" customHeight="1" s="24">
      <c r="A1" s="23" t="inlineStr">
        <is>
          <t>ERGO HEALTH CARE &amp; BEST HEALTH - ΑΝΑΛΥΤΙΚΟΣ ΠΙΝΑΚΑΣ ΚΑΛΥΨΕΩΝ ΥΓΕΙΑΣ</t>
        </is>
      </c>
    </row>
    <row r="2" ht="20.1" customHeight="1" s="24">
      <c r="A2" s="25" t="inlineStr">
        <is>
          <t>Συγκριτικός πίνακας ορίων, θέσεων νοσηλείας, δικτύων και παροχών ατομικών προγραμμάτων υγείας</t>
        </is>
      </c>
    </row>
    <row r="4" ht="26.1" customHeight="1" s="24">
      <c r="A4" s="1" t="inlineStr">
        <is>
          <t>Ασφαλιστική Κάλυψη / Παροχή</t>
        </is>
      </c>
      <c r="B4" s="1" t="inlineStr">
        <is>
          <t>Health Care Simple</t>
        </is>
      </c>
      <c r="C4" s="1" t="inlineStr">
        <is>
          <t>Health Care Advanced</t>
        </is>
      </c>
      <c r="D4" s="1" t="inlineStr">
        <is>
          <t>Health Care Superior</t>
        </is>
      </c>
      <c r="E4" s="1" t="inlineStr">
        <is>
          <t>ERGO Best Health</t>
        </is>
      </c>
      <c r="F4" s="1" t="inlineStr">
        <is>
          <t>Σημειώσεις &amp; Ειδικοί Όροι</t>
        </is>
      </c>
    </row>
    <row r="5" ht="21.95" customHeight="1" s="24">
      <c r="A5" s="11" t="inlineStr">
        <is>
          <t>Ανώτατο Όριο Κάλυψης</t>
        </is>
      </c>
      <c r="B5" s="2" t="inlineStr">
        <is>
          <t>€300.000 ανά περιστατικό</t>
        </is>
      </c>
      <c r="C5" s="2" t="inlineStr">
        <is>
          <t>€300.000 ανά περιστατικό</t>
        </is>
      </c>
      <c r="D5" s="2" t="inlineStr">
        <is>
          <t>€500.000 ανά ασφαλιστικό έτος</t>
        </is>
      </c>
      <c r="E5" s="2" t="inlineStr">
        <is>
          <t>€1.000.000 ανά έτος</t>
        </is>
      </c>
      <c r="F5" s="3" t="inlineStr">
        <is>
          <t>Ανανεώνεται ετησίως</t>
        </is>
      </c>
    </row>
    <row r="6" ht="21.95" customHeight="1" s="24">
      <c r="A6" s="11" t="inlineStr">
        <is>
          <t>Θέση Νοσηλείας</t>
        </is>
      </c>
      <c r="B6" s="2" t="inlineStr">
        <is>
          <t>Β' Θέση (Δίκλινο)</t>
        </is>
      </c>
      <c r="C6" s="2" t="inlineStr">
        <is>
          <t>Α' Θέση (Μονόκλινο)</t>
        </is>
      </c>
      <c r="D6" s="2" t="inlineStr">
        <is>
          <t>Α' Θέση (Μονόκλινο)</t>
        </is>
      </c>
      <c r="E6" s="2" t="inlineStr">
        <is>
          <t>Α' Θέση (Μονόκλινο)</t>
        </is>
      </c>
      <c r="F6" s="3" t="inlineStr">
        <is>
          <t>Δυνατότητα νοσηλείας σε χαμηλότερη θέση</t>
        </is>
      </c>
    </row>
    <row r="7" ht="21.95" customHeight="1" s="24">
      <c r="A7" s="11" t="inlineStr">
        <is>
          <t>Δίκτυο Νοσοκομείων «4U»</t>
        </is>
      </c>
      <c r="B7" s="2" t="inlineStr">
        <is>
          <t>Αποκλειστική πρόσβαση 4U</t>
        </is>
      </c>
      <c r="C7" s="2" t="inlineStr">
        <is>
          <t>Αναγνωρισμένα &amp; 4U</t>
        </is>
      </c>
      <c r="D7" s="2" t="inlineStr">
        <is>
          <t>Αναγνωρισμένα &amp; 4U</t>
        </is>
      </c>
      <c r="E7" s="2" t="inlineStr">
        <is>
          <t>Πλήρες Δίκτυο ERGO</t>
        </is>
      </c>
      <c r="F7" s="3" t="inlineStr">
        <is>
          <t>100% απευθείας εξόφληση</t>
        </is>
      </c>
    </row>
    <row r="8" ht="21.95" customHeight="1" s="24">
      <c r="A8" s="11" t="inlineStr">
        <is>
          <t>Επιλογές Απαλλαγής</t>
        </is>
      </c>
      <c r="B8" s="2" t="inlineStr">
        <is>
          <t>€0 / €500 / €1.500 / €3.000</t>
        </is>
      </c>
      <c r="C8" s="2" t="inlineStr">
        <is>
          <t>€0 / €500 / €1.500 / €3.000</t>
        </is>
      </c>
      <c r="D8" s="2" t="inlineStr">
        <is>
          <t>€0 / €500 / €1.500 / €3.000</t>
        </is>
      </c>
      <c r="E8" s="2" t="inlineStr">
        <is>
          <t>€1.500 / €3.000</t>
        </is>
      </c>
      <c r="F8" s="3" t="inlineStr">
        <is>
          <t>Επιλέγεται κατά την έκδοση</t>
        </is>
      </c>
    </row>
    <row r="9">
      <c r="A9" s="11" t="inlineStr">
        <is>
          <t>Ποσοστό Κάλυψης Εντός Δικτύου</t>
        </is>
      </c>
      <c r="B9" s="2" t="inlineStr">
        <is>
          <t>100% μετά την απαλλαγή</t>
        </is>
      </c>
      <c r="C9" s="2" t="inlineStr">
        <is>
          <t>100% μετά την απαλλαγή</t>
        </is>
      </c>
      <c r="D9" s="2" t="inlineStr">
        <is>
          <t>100% μετά την απαλλαγή</t>
        </is>
      </c>
      <c r="E9" s="2" t="inlineStr">
        <is>
          <t>100% μετά την απαλλαγή</t>
        </is>
      </c>
      <c r="F9" s="3" t="inlineStr">
        <is>
          <t>Απευθείας πληρωμή νοσηλίων</t>
        </is>
      </c>
    </row>
    <row r="10" ht="30" customHeight="1" s="24">
      <c r="A10" s="11" t="inlineStr">
        <is>
          <t>Ποσοστό Κάλυψης Εκτός Δικτύου</t>
        </is>
      </c>
      <c r="B10" s="2" t="inlineStr">
        <is>
          <t>80% (Ελλάδα), 70% (Εξωτερικό)</t>
        </is>
      </c>
      <c r="C10" s="2" t="inlineStr">
        <is>
          <t>80% (Ελλάδα), 80% (Εξωτερικό)</t>
        </is>
      </c>
      <c r="D10" s="2" t="inlineStr">
        <is>
          <t>90% (Ελλάδα), 80% (Εξωτερικό)</t>
        </is>
      </c>
      <c r="E10" s="2" t="inlineStr">
        <is>
          <t>80% (Παγκόσμια)</t>
        </is>
      </c>
      <c r="F10" s="3" t="inlineStr">
        <is>
          <t>Απολογιστική εξόφληση</t>
        </is>
      </c>
    </row>
    <row r="11" ht="30" customHeight="1" s="24">
      <c r="A11" s="11" t="inlineStr">
        <is>
          <t>Χειρουργικά Έξοδα &amp; Ιατροί</t>
        </is>
      </c>
      <c r="B11" s="2" t="inlineStr">
        <is>
          <t>100% βάσει πίνακα αμοιβών</t>
        </is>
      </c>
      <c r="C11" s="2" t="inlineStr">
        <is>
          <t>100% βάσει πίνακα αμοιβών</t>
        </is>
      </c>
      <c r="D11" s="2" t="inlineStr">
        <is>
          <t>100% βάσει πίνακα αμοιβών</t>
        </is>
      </c>
      <c r="E11" s="2" t="inlineStr">
        <is>
          <t>100% βάσει πίνακα</t>
        </is>
      </c>
      <c r="F11" s="3" t="inlineStr">
        <is>
          <t>Χειρουργός &amp; Αναισθησιολόγος</t>
        </is>
      </c>
    </row>
    <row r="12" ht="30" customHeight="1" s="24">
      <c r="A12" s="11" t="inlineStr">
        <is>
          <t>Μονάδα Εντατικής Θεραπείας (ΜΕΘ)</t>
        </is>
      </c>
      <c r="B12" s="2" t="inlineStr">
        <is>
          <t>100% Κάλυψη</t>
        </is>
      </c>
      <c r="C12" s="2" t="inlineStr">
        <is>
          <t>100% Κάλυψη</t>
        </is>
      </c>
      <c r="D12" s="2" t="inlineStr">
        <is>
          <t>100% Κάλυψη</t>
        </is>
      </c>
      <c r="E12" s="2" t="inlineStr">
        <is>
          <t>100% Κάλυψη</t>
        </is>
      </c>
      <c r="F12" s="3" t="inlineStr">
        <is>
          <t>Χωρίς υπο-όριο ημερών</t>
        </is>
      </c>
    </row>
    <row r="13" ht="21.95" customHeight="1" s="24">
      <c r="A13" s="11" t="inlineStr">
        <is>
          <t>Επείγοντα Περιστατικά</t>
        </is>
      </c>
      <c r="B13" s="2" t="inlineStr">
        <is>
          <t>Έως €500 / περιστατικό</t>
        </is>
      </c>
      <c r="C13" s="2" t="inlineStr">
        <is>
          <t>Έως €750 / περιστατικό</t>
        </is>
      </c>
      <c r="D13" s="2" t="inlineStr">
        <is>
          <t>Έως €1.000 / περιστατικό</t>
        </is>
      </c>
      <c r="E13" s="2" t="inlineStr">
        <is>
          <t>Έως €1.000 / περιστατικό</t>
        </is>
      </c>
      <c r="F13" s="3" t="inlineStr">
        <is>
          <t>24/7 στα εξωτερικά ιατρεία</t>
        </is>
      </c>
    </row>
    <row r="14">
      <c r="A14" s="11" t="inlineStr">
        <is>
          <t>Εξωνοσοκομειακές Εξετάσεις</t>
        </is>
      </c>
      <c r="B14" s="2" t="inlineStr">
        <is>
          <t>Προαιρετικό πακέτο</t>
        </is>
      </c>
      <c r="C14" s="2" t="inlineStr">
        <is>
          <t>Προαιρετικό πακέτο</t>
        </is>
      </c>
      <c r="D14" s="2" t="inlineStr">
        <is>
          <t>Περιλαμβάνεται (€2.000)</t>
        </is>
      </c>
      <c r="E14" s="2" t="inlineStr">
        <is>
          <t>Περιλαμβάνεται</t>
        </is>
      </c>
      <c r="F14" s="3" t="inlineStr">
        <is>
          <t>Σε συμβεβλημένα διαγνωστικά</t>
        </is>
      </c>
    </row>
    <row r="15" ht="30" customHeight="1" s="24">
      <c r="A15" s="11" t="inlineStr">
        <is>
          <t>Χειρουργικό Επίδομα</t>
        </is>
      </c>
      <c r="B15" s="2" t="inlineStr">
        <is>
          <t>Έως €2.500</t>
        </is>
      </c>
      <c r="C15" s="2" t="inlineStr">
        <is>
          <t>Έως €3.500</t>
        </is>
      </c>
      <c r="D15" s="2" t="inlineStr">
        <is>
          <t>Έως €5.000</t>
        </is>
      </c>
      <c r="E15" s="2" t="inlineStr">
        <is>
          <t>Έως €5.000</t>
        </is>
      </c>
      <c r="F15" s="3" t="inlineStr">
        <is>
          <t>Σε περίπτωση μη υποβολής εξόδων</t>
        </is>
      </c>
    </row>
    <row r="16" ht="30" customHeight="1" s="24">
      <c r="A16" s="11" t="inlineStr">
        <is>
          <t>Νοσοκομειακό Επίδομα</t>
        </is>
      </c>
      <c r="B16" s="2" t="inlineStr">
        <is>
          <t>€100/ημέρα (έως 30 ημέρες)</t>
        </is>
      </c>
      <c r="C16" s="2" t="inlineStr">
        <is>
          <t>€120/ημέρα (έως 30 ημέρες)</t>
        </is>
      </c>
      <c r="D16" s="2" t="inlineStr">
        <is>
          <t>€150/ημέρα (έως 30 ημέρες)</t>
        </is>
      </c>
      <c r="E16" s="2" t="inlineStr">
        <is>
          <t>€150/ημέρα</t>
        </is>
      </c>
      <c r="F16" s="3" t="inlineStr">
        <is>
          <t>Για νοσηλεία σε δημόσιο</t>
        </is>
      </c>
    </row>
    <row r="17" ht="30" customHeight="1" s="24">
      <c r="A17" s="11" t="inlineStr">
        <is>
          <t>Χημειοθεραπείες / Ακτινοθεραπείες</t>
        </is>
      </c>
      <c r="B17" s="2" t="inlineStr">
        <is>
          <t>100% Κάλυψη</t>
        </is>
      </c>
      <c r="C17" s="2" t="inlineStr">
        <is>
          <t>100% Κάλυψη</t>
        </is>
      </c>
      <c r="D17" s="2" t="inlineStr">
        <is>
          <t>100% Κάλυψη</t>
        </is>
      </c>
      <c r="E17" s="2" t="inlineStr">
        <is>
          <t>100% Κάλυψη</t>
        </is>
      </c>
      <c r="F17" s="3" t="inlineStr">
        <is>
          <t>Εντός ή εκτός νοσοκομείου</t>
        </is>
      </c>
    </row>
    <row r="18" ht="30" customHeight="1" s="24">
      <c r="A18" s="11" t="inlineStr">
        <is>
          <t>ERGOLIFE Assistance</t>
        </is>
      </c>
      <c r="B18" s="2" t="inlineStr">
        <is>
          <t>Πλήρης 24/7 Υγειονομική</t>
        </is>
      </c>
      <c r="C18" s="2" t="inlineStr">
        <is>
          <t>Πλήρης 24/7 Υγειονομική</t>
        </is>
      </c>
      <c r="D18" s="2" t="inlineStr">
        <is>
          <t>Πλήρης 24/7 Υγειονομική</t>
        </is>
      </c>
      <c r="E18" s="2" t="inlineStr">
        <is>
          <t>Πλήρης 24/7 Υγειονομική</t>
        </is>
      </c>
      <c r="F18" s="3" t="inlineStr">
        <is>
          <t>Ασθενοφόρο &amp; ιατρικές συμβουλές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:E1"/>
    </sheetView>
  </sheetViews>
  <sheetFormatPr baseColWidth="8" defaultRowHeight="15"/>
  <cols>
    <col width="24" customWidth="1" style="24" min="1" max="1"/>
    <col width="34" customWidth="1" style="24" min="2" max="2"/>
    <col width="14" customWidth="1" style="24" min="3" max="3"/>
    <col width="50" customWidth="1" style="24" min="4" max="4"/>
    <col width="30" customWidth="1" style="24" min="5" max="5"/>
  </cols>
  <sheetData>
    <row r="1" ht="36" customHeight="1" s="24">
      <c r="A1" s="23" t="inlineStr">
        <is>
          <t>ERGO LIFE, MY SAVING &amp; MY FUND - ΑΝΑΛΥΤΙΚΕΣ ΚΑΛΥΨΕΙΣ ΖΩΗΣ &amp; ΕΠΕΝΔΥΣΕΩΝ</t>
        </is>
      </c>
    </row>
    <row r="2" ht="20.1" customHeight="1" s="24">
      <c r="A2" s="25" t="inlineStr">
        <is>
          <t>Βασικές ασφαλίσεις θανάτου, ταμιευτήρια, Unit-Linked &amp; συμπληρωματικές προστασίες (Riders)</t>
        </is>
      </c>
    </row>
    <row r="4" ht="26.1" customHeight="1" s="24">
      <c r="A4" s="1" t="inlineStr">
        <is>
          <t>Κατηγορία Προϊόντος / Rider</t>
        </is>
      </c>
      <c r="B4" s="1" t="inlineStr">
        <is>
          <t>Ονομασία Παροχής</t>
        </is>
      </c>
      <c r="C4" s="1" t="inlineStr">
        <is>
          <t>Κωδικός</t>
        </is>
      </c>
      <c r="D4" s="1" t="inlineStr">
        <is>
          <t>Περιγραφή &amp; Όρια Κάλυψης</t>
        </is>
      </c>
      <c r="E4" s="1" t="inlineStr">
        <is>
          <t>Προϋποθέσεις &amp; Ηλικιακά Όρια</t>
        </is>
      </c>
    </row>
    <row r="5" ht="21.95" customHeight="1" s="24">
      <c r="A5" s="10" t="inlineStr">
        <is>
          <t>Βασική Ζωής</t>
        </is>
      </c>
      <c r="B5" s="3" t="inlineStr">
        <is>
          <t>Ισόβια Ασφάλιση Θανάτου</t>
        </is>
      </c>
      <c r="C5" s="10" t="inlineStr">
        <is>
          <t>110118</t>
        </is>
      </c>
      <c r="D5" s="3" t="inlineStr">
        <is>
          <t>Καταβολή ασφαλισμένου κεφαλαίου στους δικαιούχους σε περίπτωση απώλειας ζωής</t>
        </is>
      </c>
      <c r="E5" s="3" t="inlineStr">
        <is>
          <t>Είσοδος 18-65 ετών</t>
        </is>
      </c>
    </row>
    <row r="6" ht="21.95" customHeight="1" s="24">
      <c r="A6" s="10" t="inlineStr">
        <is>
          <t>Βασική Ζωής</t>
        </is>
      </c>
      <c r="B6" s="3" t="inlineStr">
        <is>
          <t>Πρόσκαιρη Ασφάλιση Θανάτου</t>
        </is>
      </c>
      <c r="C6" s="10" t="inlineStr">
        <is>
          <t>110318</t>
        </is>
      </c>
      <c r="D6" s="3" t="inlineStr">
        <is>
          <t>Κάλυψη θανάτου για ορισμένη χρονική διάρκεια (1-30 έτη)</t>
        </is>
      </c>
      <c r="E6" s="3" t="inlineStr">
        <is>
          <t>Είσοδος 18-65 ετών</t>
        </is>
      </c>
    </row>
    <row r="7" ht="21.95" customHeight="1" s="24">
      <c r="A7" s="10" t="inlineStr">
        <is>
          <t>Αποταμίευση</t>
        </is>
      </c>
      <c r="B7" s="3" t="inlineStr">
        <is>
          <t>ERGO My Saving Simple</t>
        </is>
      </c>
      <c r="C7" s="10" t="inlineStr">
        <is>
          <t>990119</t>
        </is>
      </c>
      <c r="D7" s="3" t="inlineStr">
        <is>
          <t>Εγγυημένο κεφάλαιο στη λήξη + δυνατότητα υπεραπόδοσης. Περιοδικό ασφάλιστρο</t>
        </is>
      </c>
      <c r="E7" s="3" t="inlineStr">
        <is>
          <t>Ελάχιστη διάρκεια 10 έτη</t>
        </is>
      </c>
    </row>
    <row r="8" ht="21.95" customHeight="1" s="24">
      <c r="A8" s="10" t="inlineStr">
        <is>
          <t>Αποταμίευση</t>
        </is>
      </c>
      <c r="B8" s="3" t="inlineStr">
        <is>
          <t>ERGO My Saving Junior</t>
        </is>
      </c>
      <c r="C8" s="10" t="inlineStr">
        <is>
          <t>990219</t>
        </is>
      </c>
      <c r="D8" s="3" t="inlineStr">
        <is>
          <t>Παιδικό αποταμιευτικό πρόγραμμα εξασφάλισης σπουδών/κεφαλαίου</t>
        </is>
      </c>
      <c r="E8" s="3" t="inlineStr">
        <is>
          <t>Για παιδιά 0-14 ετών</t>
        </is>
      </c>
    </row>
    <row r="9" ht="21.95" customHeight="1" s="24">
      <c r="A9" s="10" t="inlineStr">
        <is>
          <t>Unit-Linked</t>
        </is>
      </c>
      <c r="B9" s="3" t="inlineStr">
        <is>
          <t>ERGO My Fund Flex Plan</t>
        </is>
      </c>
      <c r="C9" s="10" t="inlineStr">
        <is>
          <t>030122</t>
        </is>
      </c>
      <c r="D9" s="3" t="inlineStr">
        <is>
          <t>Επενδυτικό πρόγραμμα περιοδικών καταβολών συνδεδεμένο με αμοιβαία κεφάλαια</t>
        </is>
      </c>
      <c r="E9" s="3" t="inlineStr">
        <is>
          <t>Ελεύθερη επιλογή χαρτοφυλακίου</t>
        </is>
      </c>
    </row>
    <row r="10" ht="21.95" customHeight="1" s="24">
      <c r="A10" s="10" t="inlineStr">
        <is>
          <t>Unit-Linked</t>
        </is>
      </c>
      <c r="B10" s="3" t="inlineStr">
        <is>
          <t>ERGO My Fund Invest Plan</t>
        </is>
      </c>
      <c r="C10" s="10" t="inlineStr">
        <is>
          <t>030222</t>
        </is>
      </c>
      <c r="D10" s="3" t="inlineStr">
        <is>
          <t>Επενδυτικό πρόγραμμα εφάπαξ καταβολής (Invest Plan)</t>
        </is>
      </c>
      <c r="E10" s="3" t="inlineStr">
        <is>
          <t>Ελάχιστο εφάπαξ €4.000</t>
        </is>
      </c>
    </row>
    <row r="11" ht="30" customHeight="1" s="24">
      <c r="A11" s="10" t="inlineStr">
        <is>
          <t>Συμπληρωματική (Rider)</t>
        </is>
      </c>
      <c r="B11" s="3" t="inlineStr">
        <is>
          <t>Θάνατος από Ατύχημα</t>
        </is>
      </c>
      <c r="C11" s="10" t="inlineStr">
        <is>
          <t>130118</t>
        </is>
      </c>
      <c r="D11" s="3" t="inlineStr">
        <is>
          <t>Διπλασιασμός κεφαλαίου σε περίπτωση θανάτου από ατύχημα</t>
        </is>
      </c>
      <c r="E11" s="3" t="inlineStr">
        <is>
          <t>Έως 65 ετών</t>
        </is>
      </c>
    </row>
    <row r="12" ht="30" customHeight="1" s="24">
      <c r="A12" s="10" t="inlineStr">
        <is>
          <t>Συμπληρωματική (Rider)</t>
        </is>
      </c>
      <c r="B12" s="3" t="inlineStr">
        <is>
          <t>Μόνιμη Ολική / Μερική Ανικανότητα</t>
        </is>
      </c>
      <c r="C12" s="10" t="inlineStr">
        <is>
          <t>130218</t>
        </is>
      </c>
      <c r="D12" s="3" t="inlineStr">
        <is>
          <t>Καταβολή ποσοστού κεφαλαίου αναλόγως του βαθμού αναπηρίας</t>
        </is>
      </c>
      <c r="E12" s="3" t="inlineStr">
        <is>
          <t>Βάσει πίνακα ανικανότητας</t>
        </is>
      </c>
    </row>
    <row r="13" ht="30" customHeight="1" s="24">
      <c r="A13" s="10" t="inlineStr">
        <is>
          <t>Συμπληρωματική (Rider)</t>
        </is>
      </c>
      <c r="B13" s="3" t="inlineStr">
        <is>
          <t>Ιατροφαρμακευτικά Έξοδα Ατυχήματος</t>
        </is>
      </c>
      <c r="C13" s="10" t="inlineStr">
        <is>
          <t>130418</t>
        </is>
      </c>
      <c r="D13" s="3" t="inlineStr">
        <is>
          <t>Κάλυψη εξόδων θεραπείας από ατύχημα έως το όριο</t>
        </is>
      </c>
      <c r="E13" s="3" t="inlineStr">
        <is>
          <t>Έως €3.000 / ατύχημα</t>
        </is>
      </c>
    </row>
    <row r="14" ht="30" customHeight="1" s="24">
      <c r="A14" s="10" t="inlineStr">
        <is>
          <t>Συμπληρωματική (Rider)</t>
        </is>
      </c>
      <c r="B14" s="3" t="inlineStr">
        <is>
          <t>Απώλεια Εισοδήματος</t>
        </is>
      </c>
      <c r="C14" s="10" t="inlineStr">
        <is>
          <t>130718</t>
        </is>
      </c>
      <c r="D14" s="3" t="inlineStr">
        <is>
          <t>Μηνιαίο επίδομα λόγω απουσίας από την εργασία από ασθένεια/ατύχημα</t>
        </is>
      </c>
      <c r="E14" s="3" t="inlineStr">
        <is>
          <t>Έως 24 μήνες</t>
        </is>
      </c>
    </row>
    <row r="15" ht="30" customHeight="1" s="24">
      <c r="A15" s="10" t="inlineStr">
        <is>
          <t>Συμπληρωματική (Rider)</t>
        </is>
      </c>
      <c r="B15" s="3" t="inlineStr">
        <is>
          <t>Απαλλαγή Πληρωμής Ασφαλίστρων (ΑΠΑ)</t>
        </is>
      </c>
      <c r="C15" s="10" t="inlineStr">
        <is>
          <t>130518</t>
        </is>
      </c>
      <c r="D15" s="3" t="inlineStr">
        <is>
          <t>Η εταιρεία αναλαμβάνει την πληρωμή ασφαλίστρων σε διαρκή ανικανότητα</t>
        </is>
      </c>
      <c r="E15" s="3" t="inlineStr">
        <is>
          <t>Προστασία συμβολαίου</t>
        </is>
      </c>
    </row>
    <row r="16" ht="30" customHeight="1" s="24">
      <c r="A16" s="10" t="inlineStr">
        <is>
          <t>Συμπληρωματική (Rider)</t>
        </is>
      </c>
      <c r="B16" s="3" t="inlineStr">
        <is>
          <t>Σοβαρές Ασθένειες</t>
        </is>
      </c>
      <c r="C16" s="10" t="inlineStr">
        <is>
          <t>021722</t>
        </is>
      </c>
      <c r="D16" s="3" t="inlineStr">
        <is>
          <t>Καταβολή εφάπαξ κεφαλαίου σε διάγνωση σοβαρής ασθένειας (καρκίνος, έμφραγμα κλπ)</t>
        </is>
      </c>
      <c r="E16" s="3" t="inlineStr">
        <is>
          <t>12 ή 31 ασθένειες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E1"/>
    </sheetView>
  </sheetViews>
  <sheetFormatPr baseColWidth="8" defaultRowHeight="15"/>
  <cols>
    <col width="24" customWidth="1" style="24" min="1" max="1"/>
    <col width="34" customWidth="1" style="24" min="2" max="2"/>
    <col width="45" customWidth="1" style="24" min="3" max="3"/>
    <col width="35" customWidth="1" style="24" min="4" max="4"/>
    <col width="28" customWidth="1" style="24" min="5" max="5"/>
  </cols>
  <sheetData>
    <row r="1" ht="36" customHeight="1" s="24">
      <c r="A1" s="23" t="inlineStr">
        <is>
          <t>ERGO MY PEOPLE - ΟΜΑΔΙΚΕΣ ΑΣΦΑΛΙΣΕΙΣ ΠΡΟΣΩΠΙΚΟΥ ΕΠΙΧΕΙΡΗΣΕΩΝ</t>
        </is>
      </c>
    </row>
    <row r="2" ht="20.1" customHeight="1" s="24">
      <c r="A2" s="25" t="inlineStr">
        <is>
          <t>Προγράμματα ομαδικής ασφάλισης Ζωής, Ανικανότητας, Νοσοκομειακής &amp; Εξωνοσοκομειακής Περίθαλψης</t>
        </is>
      </c>
    </row>
    <row r="4" ht="26.1" customHeight="1" s="24">
      <c r="A4" s="1" t="inlineStr">
        <is>
          <t>Κατηγορία Κάλυψης</t>
        </is>
      </c>
      <c r="B4" s="1" t="inlineStr">
        <is>
          <t>Παροχή Ομαδικού Προγράμματος</t>
        </is>
      </c>
      <c r="C4" s="1" t="inlineStr">
        <is>
          <t>Περιγραφή &amp; Όρια Κάλυψης</t>
        </is>
      </c>
      <c r="D4" s="1" t="inlineStr">
        <is>
          <t>Προϋποθέσεις &amp; Δικαιολογητικά</t>
        </is>
      </c>
      <c r="E4" s="1" t="inlineStr">
        <is>
          <t>Προμήθειες &amp; Bonus</t>
        </is>
      </c>
    </row>
    <row r="5" ht="21.95" customHeight="1" s="24">
      <c r="A5" s="10" t="inlineStr">
        <is>
          <t>Βασική Ασφάλιση</t>
        </is>
      </c>
      <c r="B5" s="3" t="inlineStr">
        <is>
          <t>Πρόσκαιρη Ασφάλιση Θανάτου</t>
        </is>
      </c>
      <c r="C5" s="3" t="inlineStr">
        <is>
          <t>Κεφάλαιο ασφάλισης ανά εργαζόμενο (σταθερό ή πολλαπλάσιο μισθού)</t>
        </is>
      </c>
      <c r="D5" s="3" t="inlineStr">
        <is>
          <t>Ελάχιστο 5 ασφαλισμένα άτομα</t>
        </is>
      </c>
      <c r="E5" s="3" t="inlineStr">
        <is>
          <t>8.00% προμήθεια (όλα τα έτη)</t>
        </is>
      </c>
    </row>
    <row r="6" ht="33.75" customHeight="1" s="24">
      <c r="A6" s="10" t="inlineStr">
        <is>
          <t>Συμπληρωματική</t>
        </is>
      </c>
      <c r="B6" s="3" t="inlineStr">
        <is>
          <t>Μόνιμη Ολική / Μερική Ανικανότητα (ΜΟΑ/ΜΜΑ)</t>
        </is>
      </c>
      <c r="C6" s="3" t="inlineStr">
        <is>
          <t>Καταβολή κεφαλαίου σε περίπτωση ατυχήματος ή ασθένειας</t>
        </is>
      </c>
      <c r="D6" s="3" t="inlineStr">
        <is>
          <t>Συνδέεται με τη βασική κάλυψη</t>
        </is>
      </c>
      <c r="E6" s="3" t="inlineStr">
        <is>
          <t>15.00% προμήθεια (όλα τα έτη)</t>
        </is>
      </c>
    </row>
    <row r="7" ht="28.5" customHeight="1" s="24">
      <c r="A7" s="10" t="inlineStr">
        <is>
          <t>Συμπληρωματική</t>
        </is>
      </c>
      <c r="B7" s="3" t="inlineStr">
        <is>
          <t>Ευρεία Νοσοκομειακή Περίθαλψη</t>
        </is>
      </c>
      <c r="C7" s="3" t="inlineStr">
        <is>
          <t>Κάλυψη εξόδων νοσηλείας σε ιδιωτικά &amp; δημόσια νοσοκομεία</t>
        </is>
      </c>
      <c r="D7" s="3" t="inlineStr">
        <is>
          <t>Ετήσιο όριο ανά ασφαλισμένο (€10k-€50k)</t>
        </is>
      </c>
      <c r="E7" s="3" t="inlineStr">
        <is>
          <t>15.00% προμήθεια (όλα τα έτη)</t>
        </is>
      </c>
    </row>
    <row r="8" ht="24" customHeight="1" s="24">
      <c r="A8" s="10" t="inlineStr">
        <is>
          <t>Συμπληρωματική</t>
        </is>
      </c>
      <c r="B8" s="3" t="inlineStr">
        <is>
          <t>Εξωνοσοκομειακή Περίθαλψη</t>
        </is>
      </c>
      <c r="C8" s="3" t="inlineStr">
        <is>
          <t>Διαγνωστικές εξετάσεις, ιατρικές επισκέψεις, φάρμακα</t>
        </is>
      </c>
      <c r="D8" s="3" t="inlineStr">
        <is>
          <t>Σε συμβεβλημένο δίκτυο</t>
        </is>
      </c>
      <c r="E8" s="3" t="inlineStr">
        <is>
          <t>15.00% προμήθεια (όλα τα έτη)</t>
        </is>
      </c>
    </row>
    <row r="9" ht="22.5" customHeight="1" s="24">
      <c r="A9" s="10" t="inlineStr">
        <is>
          <t>Συμπληρωματική</t>
        </is>
      </c>
      <c r="B9" s="3" t="inlineStr">
        <is>
          <t>Νοσοκομειακό &amp; Χειρουργικό Επίδομα</t>
        </is>
      </c>
      <c r="C9" s="3" t="inlineStr">
        <is>
          <t>Ημερήσιο επίδομα για κάθε ημέρα νοσηλείας</t>
        </is>
      </c>
      <c r="D9" s="3" t="inlineStr">
        <is>
          <t>Έως 180 ημέρες ανά έτος</t>
        </is>
      </c>
      <c r="E9" s="3" t="inlineStr">
        <is>
          <t>15.00% προμήθεια (όλα τα έτη)</t>
        </is>
      </c>
    </row>
    <row r="10" ht="31.5" customHeight="1" s="24">
      <c r="A10" s="10" t="inlineStr">
        <is>
          <t>Υπηρεσία</t>
        </is>
      </c>
      <c r="B10" s="3" t="inlineStr">
        <is>
          <t>ERGOLIFE Assistance 24/7</t>
        </is>
      </c>
      <c r="C10" s="3" t="inlineStr">
        <is>
          <t>Υγειονομική μεταφορά, ασθενοφόρο, τηλεφωνική υποστήριξη</t>
        </is>
      </c>
      <c r="D10" s="3" t="inlineStr">
        <is>
          <t>Περιλαμβάνεται σε όλα τα συμβόλαια</t>
        </is>
      </c>
      <c r="E10" s="3" t="inlineStr">
        <is>
          <t>Χωρίς πρόσθετη χρέωση</t>
        </is>
      </c>
    </row>
    <row r="11" ht="33" customHeight="1" s="24">
      <c r="A11" s="10" t="inlineStr">
        <is>
          <t>Bonus Νέων</t>
        </is>
      </c>
      <c r="B11" s="3" t="inlineStr">
        <is>
          <t>Bonus Πρωτοετούς Παραγωγής Νέων Ομαδικών</t>
        </is>
      </c>
      <c r="C11" s="3" t="inlineStr">
        <is>
          <t>Έκτακτο ετήσιο bonus +5.00% επί των εισπραγμένων ασφαλίστρων</t>
        </is>
      </c>
      <c r="D11" s="3" t="inlineStr">
        <is>
          <t>Πρωτοασφαλιζόμενη επιχείρηση (έως 100 άτομα)</t>
        </is>
      </c>
      <c r="E11" s="3" t="inlineStr">
        <is>
          <t>+5.00% επιπλέον αμοιβή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:E1"/>
    </sheetView>
  </sheetViews>
  <sheetFormatPr baseColWidth="8" defaultRowHeight="15"/>
  <cols>
    <col width="60" customWidth="1" style="24" min="1" max="1"/>
    <col width="21" customWidth="1" style="24" min="2" max="2"/>
    <col width="34" customWidth="1" style="24" min="3" max="3"/>
    <col width="42" customWidth="1" style="24" min="4" max="4"/>
    <col width="33" customWidth="1" style="24" min="5" max="5"/>
  </cols>
  <sheetData>
    <row r="1" ht="36" customHeight="1" s="24">
      <c r="A1" s="23" t="inlineStr">
        <is>
          <t>ERGO - ΚΛΙΜΑΚΕΣ ΠΡΙΜ &amp; BONUS ΠΑΡΑΓΩΓΗΣ ΚΑΝΟΝΙΣΜΟΥ ΠΩΛΗΣΕΩΝ</t>
        </is>
      </c>
    </row>
    <row r="2" ht="20.1" customHeight="1" s="24">
      <c r="A2" s="25" t="inlineStr">
        <is>
          <t>Ετήσια πρόσθετα κίνητρα διατήρησης, καλού αποτελέσματος (ΔΖ) &amp; νέας παραγωγής</t>
        </is>
      </c>
    </row>
    <row r="4">
      <c r="A4" s="33" t="inlineStr">
        <is>
          <t>1. BONUS ΔΙΑΤΗΡΗΣΗΣ &amp; ΑΝΑΠΤΥΞΗΣ ΧΑΡТОΦΥΛΑΚΙΟΥ (ΖΩΗΣ &amp; ΥΓΕΙΑΣ)</t>
        </is>
      </c>
    </row>
    <row r="5" ht="24" customHeight="1" s="24">
      <c r="A5" s="27" t="inlineStr">
        <is>
          <t>Ύψος Χαρτοφυλακίου (€)</t>
        </is>
      </c>
      <c r="B5" s="27" t="inlineStr">
        <is>
          <t>Ποσοστό Bonus (%)</t>
        </is>
      </c>
      <c r="C5" s="27" t="inlineStr">
        <is>
          <t>Προϋποθέσεις</t>
        </is>
      </c>
      <c r="D5" s="27" t="inlineStr">
        <is>
          <t>Πεδίο Εφαρμογής</t>
        </is>
      </c>
      <c r="E5" s="27" t="inlineStr">
        <is>
          <t>Χρόνος Καταβολής</t>
        </is>
      </c>
    </row>
    <row r="6" ht="20.1" customHeight="1" s="24">
      <c r="A6" s="2" t="inlineStr">
        <is>
          <t>&gt; €50.000</t>
        </is>
      </c>
      <c r="B6" s="4" t="n">
        <v>0.01</v>
      </c>
      <c r="C6" s="3" t="inlineStr">
        <is>
          <t>Ελάχιστο χαρτοφυλάκιο €50.000</t>
        </is>
      </c>
      <c r="D6" s="3" t="inlineStr">
        <is>
          <t>Ετήσια ασφάλιστρα Ζωής &amp; Υγείας</t>
        </is>
      </c>
      <c r="E6" s="3" t="inlineStr">
        <is>
          <t>Ετησίως (Απρίλιος)</t>
        </is>
      </c>
    </row>
    <row r="7" ht="20.1" customHeight="1" s="24">
      <c r="A7" s="2" t="inlineStr">
        <is>
          <t>&gt; €100.000</t>
        </is>
      </c>
      <c r="B7" s="4" t="n">
        <v>0.015</v>
      </c>
      <c r="C7" s="3" t="inlineStr">
        <is>
          <t>Ελάχιστο χαρτοφυλάκιο €100.000</t>
        </is>
      </c>
      <c r="D7" s="3" t="inlineStr">
        <is>
          <t>Ετήσια ασφάλιστρα Ζωής &amp; Υγείας</t>
        </is>
      </c>
      <c r="E7" s="3" t="inlineStr">
        <is>
          <t>Ετησίως (Απρίλιος)</t>
        </is>
      </c>
    </row>
    <row r="8" ht="20.1" customHeight="1" s="24">
      <c r="A8" s="2" t="inlineStr">
        <is>
          <t>&gt; €150.000</t>
        </is>
      </c>
      <c r="B8" s="4" t="n">
        <v>0.02</v>
      </c>
      <c r="C8" s="3" t="inlineStr">
        <is>
          <t>Ελάχιστο χαρτοφυλάκιο €150.000</t>
        </is>
      </c>
      <c r="D8" s="3" t="inlineStr">
        <is>
          <t>Ετήσια ασφάλιστρα Ζωής &amp; Υγείας</t>
        </is>
      </c>
      <c r="E8" s="3" t="inlineStr">
        <is>
          <t>Ετησίως (Απρίλιος)</t>
        </is>
      </c>
    </row>
    <row r="10">
      <c r="A10" s="33" t="inlineStr">
        <is>
          <t>2. BONUS ΚΑΛΟΥ ΑΠΟΤΕΛΕΣΜΑΤΟΣ / ΔΕΙKTH ΖΗΜΙΩΝ (ΔΖ ΥΓΕΙΑΣ)</t>
        </is>
      </c>
    </row>
    <row r="11" ht="24" customHeight="1" s="24">
      <c r="A11" s="27" t="inlineStr">
        <is>
          <t>Δείκτης Ζημιών (ΔΖ)</t>
        </is>
      </c>
      <c r="B11" s="27" t="inlineStr">
        <is>
          <t>Ποσοστό Bonus (%)</t>
        </is>
      </c>
      <c r="C11" s="27" t="inlineStr">
        <is>
          <t>Ελάχιστη Παραγωγή</t>
        </is>
      </c>
      <c r="D11" s="27" t="inlineStr">
        <is>
          <t>Υπολογισμός</t>
        </is>
      </c>
      <c r="E11" s="27" t="inlineStr">
        <is>
          <t>Παρατηρήσεις</t>
        </is>
      </c>
    </row>
    <row r="12" ht="20.1" customHeight="1" s="24">
      <c r="A12" s="2" t="inlineStr">
        <is>
          <t>ΔΖ &lt; 50%</t>
        </is>
      </c>
      <c r="B12" s="4" t="n">
        <v>0.02</v>
      </c>
      <c r="C12" s="3" t="inlineStr">
        <is>
          <t>€30.000 εισπραγμένη παραγωγής</t>
        </is>
      </c>
      <c r="D12" s="3" t="inlineStr">
        <is>
          <t>Αποζημιώσεις / Δεδουλευμένα Ασφάλιστρα</t>
        </is>
      </c>
      <c r="E12" s="3" t="inlineStr">
        <is>
          <t>Εξαιρείται η Πρωτοβάθμια</t>
        </is>
      </c>
    </row>
    <row r="13" ht="20.1" customHeight="1" s="24">
      <c r="A13" s="2" t="inlineStr">
        <is>
          <t>ΔΖ &lt; 45%</t>
        </is>
      </c>
      <c r="B13" s="4" t="n">
        <v>0.03</v>
      </c>
      <c r="C13" s="3" t="inlineStr">
        <is>
          <t>€30.000 εισπραγμένη παραγωγής</t>
        </is>
      </c>
      <c r="D13" s="3" t="inlineStr">
        <is>
          <t>Αποζημιώσεις / Δεδουλευμένα Ασφάλιστρα</t>
        </is>
      </c>
      <c r="E13" s="3" t="inlineStr">
        <is>
          <t>Εξαιρείται η Πρωτοβάθμια</t>
        </is>
      </c>
    </row>
    <row r="14" ht="20.1" customHeight="1" s="24">
      <c r="A14" s="2" t="inlineStr">
        <is>
          <t>ΔΖ &lt; 40%</t>
        </is>
      </c>
      <c r="B14" s="4" t="n">
        <v>0.04</v>
      </c>
      <c r="C14" s="3" t="inlineStr">
        <is>
          <t>€30.000 εισπραγμένη παραγωγής</t>
        </is>
      </c>
      <c r="D14" s="3" t="inlineStr">
        <is>
          <t>Αποζημιώσεις / Δεδουλευμένα Ασφάλιστρα</t>
        </is>
      </c>
      <c r="E14" s="3" t="inlineStr">
        <is>
          <t>Εξαιρείται η Πρωτοβάθμια</t>
        </is>
      </c>
    </row>
    <row r="15" ht="20.1" customHeight="1" s="24">
      <c r="A15" s="2" t="inlineStr">
        <is>
          <t>ΔΖ &lt; 35%</t>
        </is>
      </c>
      <c r="B15" s="4" t="n">
        <v>0.05</v>
      </c>
      <c r="C15" s="3" t="inlineStr">
        <is>
          <t>€30.000 εισπραγμένη παραγωγής</t>
        </is>
      </c>
      <c r="D15" s="3" t="inlineStr">
        <is>
          <t>Αποζημιώσεις / Δεδουλευμένα Ασφάλιστρα</t>
        </is>
      </c>
      <c r="E15" s="3" t="inlineStr">
        <is>
          <t>Εξαιρείται η Πρωτοβάθμια</t>
        </is>
      </c>
    </row>
    <row r="16" ht="20.1" customHeight="1" s="24">
      <c r="A16" s="2" t="inlineStr">
        <is>
          <t>ΔΖ &lt; 30%</t>
        </is>
      </c>
      <c r="B16" s="4" t="n">
        <v>0.06</v>
      </c>
      <c r="C16" s="3" t="inlineStr">
        <is>
          <t>€30.000 εισπραγμένη παραγωγής</t>
        </is>
      </c>
      <c r="D16" s="3" t="inlineStr">
        <is>
          <t>Αποζημιώσεις / Δεδουλευμένα Ασφάλιστρα</t>
        </is>
      </c>
      <c r="E16" s="3" t="inlineStr">
        <is>
          <t>Εξαιρείται η Πρωτοβάθμια</t>
        </is>
      </c>
    </row>
    <row r="18">
      <c r="A18" s="33" t="inlineStr">
        <is>
          <t>3. BONUS ΠΡΩТОΕΤΟΥΣ ΝΕΑΣ ΠΑΡΑΓΩΓΗΣ ΑΣΦΑΛΙΣΕΩΝ ΥΓΕΙΑΣ</t>
        </is>
      </c>
    </row>
    <row r="19" ht="24" customHeight="1" s="24">
      <c r="A19" s="27" t="inlineStr">
        <is>
          <t>Εισπραγμένη Νέα Παραγωγή</t>
        </is>
      </c>
      <c r="B19" s="27" t="inlineStr">
        <is>
          <t>Ποσοστό Bonus (%)</t>
        </is>
      </c>
      <c r="C19" s="27" t="inlineStr">
        <is>
          <t>Εφαρμογή</t>
        </is>
      </c>
      <c r="D19" s="27" t="inlineStr">
        <is>
          <t>Εξαιρέσεις</t>
        </is>
      </c>
      <c r="E19" s="27" t="inlineStr">
        <is>
          <t>Κατηγορίες</t>
        </is>
      </c>
    </row>
    <row r="20" ht="20.1" customHeight="1" s="24">
      <c r="A20" s="2" t="inlineStr">
        <is>
          <t>&gt; €10.000</t>
        </is>
      </c>
      <c r="B20" s="4" t="n">
        <v>0.01</v>
      </c>
      <c r="C20" s="3" t="inlineStr">
        <is>
          <t>Στο σύνολο της νέας παραγωγής</t>
        </is>
      </c>
      <c r="D20" s="3" t="inlineStr">
        <is>
          <t>Δεν προσμετρώνται αντικαταστάσεις</t>
        </is>
      </c>
      <c r="E20" s="3" t="inlineStr">
        <is>
          <t>Ισχύει για Κατηγορίες Α, Β, Γ</t>
        </is>
      </c>
    </row>
    <row r="21" ht="20.1" customHeight="1" s="24">
      <c r="A21" s="2" t="inlineStr">
        <is>
          <t>&gt; €20.000</t>
        </is>
      </c>
      <c r="B21" s="4" t="n">
        <v>0.02</v>
      </c>
      <c r="C21" s="3" t="inlineStr">
        <is>
          <t>Στο σύνολο της νέας παραγωγής</t>
        </is>
      </c>
      <c r="D21" s="3" t="inlineStr">
        <is>
          <t>Δεν προσμετρώνται αντικαταστάσεις</t>
        </is>
      </c>
      <c r="E21" s="3" t="inlineStr">
        <is>
          <t>Ισχύει για Κατηγορίες Α, Β, Γ</t>
        </is>
      </c>
    </row>
    <row r="22" ht="20.1" customHeight="1" s="24">
      <c r="A22" s="2" t="inlineStr">
        <is>
          <t>&gt; €30.000</t>
        </is>
      </c>
      <c r="B22" s="4" t="n">
        <v>0.03</v>
      </c>
      <c r="C22" s="3" t="inlineStr">
        <is>
          <t>Στο σύνολο της νέας παραγωγής</t>
        </is>
      </c>
      <c r="D22" s="3" t="inlineStr">
        <is>
          <t>Δεν προσμετρώνται αντικαταστάσεις</t>
        </is>
      </c>
      <c r="E22" s="3" t="inlineStr">
        <is>
          <t>Ισχύει για Κατηγορίες Α, Β, Γ</t>
        </is>
      </c>
    </row>
    <row r="23" ht="20.1" customHeight="1" s="24">
      <c r="A23" s="2" t="inlineStr">
        <is>
          <t>&gt; €40.000</t>
        </is>
      </c>
      <c r="B23" s="4" t="n">
        <v>0.04</v>
      </c>
      <c r="C23" s="3" t="inlineStr">
        <is>
          <t>Στο σύνολο της νέας παραγωγής</t>
        </is>
      </c>
      <c r="D23" s="3" t="inlineStr">
        <is>
          <t>Δεν προσμετρώνται αντικαταστάσεις</t>
        </is>
      </c>
      <c r="E23" s="3" t="inlineStr">
        <is>
          <t>Ισχύει για Κατηγορίες Α, Β, Γ</t>
        </is>
      </c>
    </row>
    <row r="24" ht="20.1" customHeight="1" s="24">
      <c r="A24" s="2" t="inlineStr">
        <is>
          <t>&gt; €50.000</t>
        </is>
      </c>
      <c r="B24" s="4" t="n">
        <v>0.05</v>
      </c>
      <c r="C24" s="3" t="inlineStr">
        <is>
          <t>Στο σύνολο της νέας παραγωγής</t>
        </is>
      </c>
      <c r="D24" s="3" t="inlineStr">
        <is>
          <t>Δεν προσμετρώνται αντικαταστάσεις</t>
        </is>
      </c>
      <c r="E24" s="3" t="inlineStr">
        <is>
          <t>Ισχύει για Κατηγορίες Α, Β, Γ</t>
        </is>
      </c>
    </row>
  </sheetData>
  <mergeCells count="5">
    <mergeCell ref="A4:E4"/>
    <mergeCell ref="A2:E2"/>
    <mergeCell ref="A10:E10"/>
    <mergeCell ref="A1:E1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O1"/>
    </sheetView>
  </sheetViews>
  <sheetFormatPr baseColWidth="8" defaultRowHeight="15"/>
  <cols>
    <col width="8" customWidth="1" style="24" min="1" max="1"/>
    <col width="14" customWidth="1" style="24" min="2" max="2"/>
    <col width="16" customWidth="1" style="24" min="3" max="3"/>
    <col width="28" customWidth="1" style="24" min="4" max="4"/>
    <col width="16" customWidth="1" style="24" min="5" max="5"/>
    <col width="40" customWidth="1" style="24" min="6" max="6"/>
    <col width="12" customWidth="1" style="24" min="7" max="7"/>
    <col width="16" customWidth="1" style="24" min="8" max="8"/>
    <col width="22" customWidth="1" style="24" min="9" max="9"/>
    <col width="16" customWidth="1" style="24" min="10" max="10"/>
    <col width="18" customWidth="1" style="24" min="11" max="11"/>
    <col width="16" customWidth="1" style="24" min="12" max="12"/>
    <col width="18" customWidth="1" style="24" min="13" max="13"/>
    <col width="22" customWidth="1" style="24" min="14" max="14"/>
    <col width="30" customWidth="1" style="24" min="15" max="15"/>
  </cols>
  <sheetData>
    <row r="1" ht="36" customHeight="1" s="24">
      <c r="A1" s="23" t="inlineStr">
        <is>
          <t>ERGO - ΑΡΧΕΙΟ ΚΑΤΑΧΩΡΗΣΗΣ &amp; ΠΑΡΑΚΟΛΟΥΘΗΣΗΣ ΣΥΜΒΟΛΑΙΩΝ</t>
        </is>
      </c>
    </row>
    <row r="2" ht="20.1" customHeight="1" s="24">
      <c r="A2" s="25" t="inlineStr">
        <is>
          <t>Φόρμα παρακολούθησης νέων συμβολαίων με αυτόματο υπολογισμό δικαιωμάτων προμηθειών &amp; υπερπρομηθειών</t>
        </is>
      </c>
    </row>
    <row r="4" ht="26.1" customHeight="1" s="24">
      <c r="A4" s="1" t="inlineStr">
        <is>
          <t>Α/Α</t>
        </is>
      </c>
      <c r="B4" s="1" t="inlineStr">
        <is>
          <t>Ημερομηνία</t>
        </is>
      </c>
      <c r="C4" s="1" t="inlineStr">
        <is>
          <t>Αρ. Συμβολαίου</t>
        </is>
      </c>
      <c r="D4" s="1" t="inlineStr">
        <is>
          <t>Ονοματεπώνυμο Λήπτη</t>
        </is>
      </c>
      <c r="E4" s="1" t="inlineStr">
        <is>
          <t>Κλάδος</t>
        </is>
      </c>
      <c r="F4" s="1" t="inlineStr">
        <is>
          <t>Προϊόν / Πρόγραμμα</t>
        </is>
      </c>
      <c r="G4" s="1" t="inlineStr">
        <is>
          <t>Έτος</t>
        </is>
      </c>
      <c r="H4" s="1" t="inlineStr">
        <is>
          <t>Κατηγορία</t>
        </is>
      </c>
      <c r="I4" s="1" t="inlineStr">
        <is>
          <t>Καθαρά Ασφάλιστρα (€)</t>
        </is>
      </c>
      <c r="J4" s="1" t="inlineStr">
        <is>
          <t>Προμήθεια (%)</t>
        </is>
      </c>
      <c r="K4" s="1" t="inlineStr">
        <is>
          <t>Προμήθεια (€)</t>
        </is>
      </c>
      <c r="L4" s="1" t="inlineStr">
        <is>
          <t>Override (%)</t>
        </is>
      </c>
      <c r="M4" s="1" t="inlineStr">
        <is>
          <t>Override (€)</t>
        </is>
      </c>
      <c r="N4" s="1" t="inlineStr">
        <is>
          <t>Συνολικό Όφελος (€)</t>
        </is>
      </c>
      <c r="O4" s="1" t="inlineStr">
        <is>
          <t>Σημειώσεις</t>
        </is>
      </c>
    </row>
    <row r="5" ht="31.5" customHeight="1" s="24">
      <c r="A5" s="2" t="n">
        <v>1</v>
      </c>
      <c r="B5" s="2" t="inlineStr">
        <is>
          <t>2026-08-01</t>
        </is>
      </c>
      <c r="C5" s="2" t="inlineStr">
        <is>
          <t>ERG-99401</t>
        </is>
      </c>
      <c r="D5" s="3" t="inlineStr">
        <is>
          <t>Γεώργιος Παπαδόπουλος</t>
        </is>
      </c>
      <c r="E5" s="2" t="inlineStr">
        <is>
          <t>Υγεία</t>
        </is>
      </c>
      <c r="F5" s="3" t="inlineStr">
        <is>
          <t>ERGO Health Care (Simple, Advanced, Superior)</t>
        </is>
      </c>
      <c r="G5" s="2" t="inlineStr">
        <is>
          <t>1ο Έτος</t>
        </is>
      </c>
      <c r="H5" s="2" t="inlineStr">
        <is>
          <t>Κατηγορία Β</t>
        </is>
      </c>
      <c r="I5" s="12" t="n">
        <v>1200</v>
      </c>
      <c r="J5" s="4" t="n">
        <v>0.319</v>
      </c>
      <c r="K5" s="12">
        <f>I5*J5</f>
        <v/>
      </c>
      <c r="L5" s="4" t="n">
        <v>0.1</v>
      </c>
      <c r="M5" s="12">
        <f>I5*L5</f>
        <v/>
      </c>
      <c r="N5" s="12">
        <f>K5+M5</f>
        <v/>
      </c>
      <c r="O5" s="3" t="inlineStr">
        <is>
          <t>Superior Α' Θέση</t>
        </is>
      </c>
    </row>
    <row r="6" ht="20.1" customHeight="1" s="24">
      <c r="A6" s="2" t="n">
        <v>2</v>
      </c>
      <c r="B6" s="2" t="inlineStr">
        <is>
          <t>2026-08-03</t>
        </is>
      </c>
      <c r="C6" s="2" t="inlineStr">
        <is>
          <t>ERG-99402</t>
        </is>
      </c>
      <c r="D6" s="3" t="inlineStr">
        <is>
          <t>Μαρία Κωνσταντίνου</t>
        </is>
      </c>
      <c r="E6" s="2" t="inlineStr">
        <is>
          <t>Ζωή</t>
        </is>
      </c>
      <c r="F6" s="3" t="inlineStr">
        <is>
          <t>ERGO Life - Ισόβια Ασφάλιση Θανάτου</t>
        </is>
      </c>
      <c r="G6" s="2" t="inlineStr">
        <is>
          <t>1ο Έτος</t>
        </is>
      </c>
      <c r="H6" s="2" t="inlineStr">
        <is>
          <t>Κατηγορία Β</t>
        </is>
      </c>
      <c r="I6" s="12" t="n">
        <v>850</v>
      </c>
      <c r="J6" s="4" t="n">
        <v>0.55</v>
      </c>
      <c r="K6" s="12">
        <f>I6*J6</f>
        <v/>
      </c>
      <c r="L6" s="4" t="n">
        <v>0.1</v>
      </c>
      <c r="M6" s="12">
        <f>I6*L6</f>
        <v/>
      </c>
      <c r="N6" s="12">
        <f>K6+M6</f>
        <v/>
      </c>
      <c r="O6" s="3" t="inlineStr">
        <is>
          <t>Ισόβια + Θάνατος Ατυχήματος</t>
        </is>
      </c>
    </row>
    <row r="7">
      <c r="A7" s="2" t="n">
        <v>3</v>
      </c>
      <c r="B7" s="2" t="inlineStr">
        <is>
          <t>2026-08-05</t>
        </is>
      </c>
      <c r="C7" s="2" t="inlineStr">
        <is>
          <t>ERG-99403</t>
        </is>
      </c>
      <c r="D7" s="3" t="inlineStr">
        <is>
          <t>Αλέξανδρος Νικολάου</t>
        </is>
      </c>
      <c r="E7" s="2" t="inlineStr">
        <is>
          <t>Αποταμίευση</t>
        </is>
      </c>
      <c r="F7" s="3" t="inlineStr">
        <is>
          <t>ERGO My Saving Simple &amp; Junior</t>
        </is>
      </c>
      <c r="G7" s="2" t="inlineStr">
        <is>
          <t>1ο Έτος</t>
        </is>
      </c>
      <c r="H7" s="2" t="inlineStr">
        <is>
          <t>Κατηγορία Β</t>
        </is>
      </c>
      <c r="I7" s="12" t="n">
        <v>1500</v>
      </c>
      <c r="J7" s="4" t="n">
        <v>0.1604</v>
      </c>
      <c r="K7" s="12">
        <f>I7*J7</f>
        <v/>
      </c>
      <c r="L7" s="4" t="n">
        <v>0.1</v>
      </c>
      <c r="M7" s="12">
        <f>I7*L7</f>
        <v/>
      </c>
      <c r="N7" s="12">
        <f>K7+M7</f>
        <v/>
      </c>
      <c r="O7" s="3" t="inlineStr">
        <is>
          <t>My Saving Simple 15ετία</t>
        </is>
      </c>
    </row>
    <row r="8" ht="30" customHeight="1" s="24">
      <c r="A8" s="2" t="n">
        <v>4</v>
      </c>
      <c r="B8" s="2" t="inlineStr">
        <is>
          <t>2026-08-08</t>
        </is>
      </c>
      <c r="C8" s="2" t="inlineStr">
        <is>
          <t>ERG-99404</t>
        </is>
      </c>
      <c r="D8" s="3" t="inlineStr">
        <is>
          <t>Tech Solutions Ε.Π.Ε.</t>
        </is>
      </c>
      <c r="E8" s="2" t="inlineStr">
        <is>
          <t>Ομαδικά</t>
        </is>
      </c>
      <c r="F8" s="3" t="inlineStr">
        <is>
          <t>ERGO My People - Βασική Ασφάλιση Θανάτου</t>
        </is>
      </c>
      <c r="G8" s="2" t="inlineStr">
        <is>
          <t>1ο Έτος</t>
        </is>
      </c>
      <c r="H8" s="2" t="inlineStr">
        <is>
          <t>Κατηγορία Β</t>
        </is>
      </c>
      <c r="I8" s="12" t="n">
        <v>4500</v>
      </c>
      <c r="J8" s="4" t="n">
        <v>0.08</v>
      </c>
      <c r="K8" s="12">
        <f>I8*J8</f>
        <v/>
      </c>
      <c r="L8" s="4" t="n">
        <v>0.1</v>
      </c>
      <c r="M8" s="12">
        <f>I8*L8</f>
        <v/>
      </c>
      <c r="N8" s="12">
        <f>K8+M8</f>
        <v/>
      </c>
      <c r="O8" s="3" t="inlineStr">
        <is>
          <t>Ομαδικό 25 άτομα + Bonus 5%</t>
        </is>
      </c>
    </row>
    <row r="9" ht="20.1" customHeight="1" s="24">
      <c r="A9" s="2" t="n">
        <v>5</v>
      </c>
      <c r="B9" s="2" t="inlineStr">
        <is>
          <t>2026-08-10</t>
        </is>
      </c>
      <c r="C9" s="2" t="inlineStr">
        <is>
          <t>ERG-99405</t>
        </is>
      </c>
      <c r="D9" s="3" t="inlineStr">
        <is>
          <t>Ελένη Δημητρίου</t>
        </is>
      </c>
      <c r="E9" s="2" t="inlineStr">
        <is>
          <t>Υγεία</t>
        </is>
      </c>
      <c r="F9" s="3" t="inlineStr">
        <is>
          <t>ERGO Health Care (Simple, Advanced, Superior)</t>
        </is>
      </c>
      <c r="G9" s="2" t="inlineStr">
        <is>
          <t>2ο Έτος</t>
        </is>
      </c>
      <c r="H9" s="2" t="inlineStr">
        <is>
          <t>Κατηγορία Γ</t>
        </is>
      </c>
      <c r="I9" s="12" t="n">
        <v>950</v>
      </c>
      <c r="J9" s="4" t="n">
        <v>0.3</v>
      </c>
      <c r="K9" s="12">
        <f>I9*J9</f>
        <v/>
      </c>
      <c r="L9" s="4" t="n">
        <v>0.1</v>
      </c>
      <c r="M9" s="12">
        <f>I9*L9</f>
        <v/>
      </c>
      <c r="N9" s="12">
        <f>K9+M9</f>
        <v/>
      </c>
      <c r="O9" s="3" t="inlineStr">
        <is>
          <t>Ανανέωση 2ου έτους Advanced</t>
        </is>
      </c>
    </row>
    <row r="10" ht="24" customHeight="1" s="24">
      <c r="D10" s="13" t="inlineStr">
        <is>
          <t>ΣΥΝΟΛΑ:</t>
        </is>
      </c>
      <c r="I10" s="14">
        <f>SUM(I5:I9)</f>
        <v/>
      </c>
      <c r="K10" s="14">
        <f>SUM(K5:K9)</f>
        <v/>
      </c>
      <c r="M10" s="14">
        <f>SUM(M5:M9)</f>
        <v/>
      </c>
      <c r="N10" s="14">
        <f>SUM(N5:N9)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2" sqref="A1:R2"/>
    </sheetView>
  </sheetViews>
  <sheetFormatPr baseColWidth="8" defaultRowHeight="15"/>
  <cols>
    <col width="11.85546875" bestFit="1" customWidth="1" style="24" min="2" max="2"/>
    <col width="13.7109375" bestFit="1" customWidth="1" style="24" min="3" max="3"/>
    <col width="12" bestFit="1" customWidth="1" style="24" min="4" max="4"/>
    <col width="15.28515625" bestFit="1" customWidth="1" style="24" min="5" max="5"/>
    <col width="13.85546875" bestFit="1" customWidth="1" style="24" min="6" max="6"/>
    <col width="26.7109375" bestFit="1" customWidth="1" style="24" min="7" max="7"/>
    <col width="14" bestFit="1" customWidth="1" style="24" min="11" max="11"/>
    <col width="13.85546875" bestFit="1" customWidth="1" style="24" min="12" max="12"/>
    <col width="18.28515625" bestFit="1" customWidth="1" style="24" min="13" max="13"/>
    <col width="16.5703125" bestFit="1" customWidth="1" style="24" min="14" max="14"/>
    <col width="16.42578125" bestFit="1" customWidth="1" style="24" min="15" max="15"/>
    <col width="20.85546875" bestFit="1" customWidth="1" style="24" min="16" max="16"/>
    <col width="9.85546875" bestFit="1" customWidth="1" style="24" min="17" max="17"/>
    <col width="20.85546875" bestFit="1" customWidth="1" style="24" min="18" max="18"/>
  </cols>
  <sheetData>
    <row r="1" ht="36" customHeight="1" s="24">
      <c r="A1" s="23" t="inlineStr">
        <is>
          <t>ERGO - ΕΚΚΑΘΑΡΙΣΕΙΣ ΕΤΑΙΡΙΑΣ 02/2026 - 07/2026 (ΑΝΑ ΗΜΕΡΟΜΗΝΙΑ)</t>
        </is>
      </c>
    </row>
    <row r="2" ht="20.1" customHeight="1" s="24">
      <c r="A2" s="25" t="inlineStr">
        <is>
          <t>Ενοποιημένο ιστορικό παραστατικών εκκαθάρισης εταιρίας ταξινομημένο χρονολογικά</t>
        </is>
      </c>
    </row>
    <row r="4" ht="27.95" customHeight="1" s="24">
      <c r="A4" s="15" t="inlineStr">
        <is>
          <t>Α/Α</t>
        </is>
      </c>
      <c r="B4" s="15" t="inlineStr">
        <is>
          <t>Ημερομηνία</t>
        </is>
      </c>
      <c r="C4" s="15" t="inlineStr">
        <is>
          <t>Μήνας Εκκαθ.</t>
        </is>
      </c>
      <c r="D4" s="15" t="inlineStr">
        <is>
          <t>Βαθμίδα</t>
        </is>
      </c>
      <c r="E4" s="15" t="inlineStr">
        <is>
          <t>Αρ. Συμβολαίου</t>
        </is>
      </c>
      <c r="F4" s="15" t="inlineStr">
        <is>
          <t>Αρ. Απόδειξης</t>
        </is>
      </c>
      <c r="G4" s="15" t="inlineStr">
        <is>
          <t>Ονοματεπώνυμο Πελάτη</t>
        </is>
      </c>
      <c r="H4" s="15" t="inlineStr">
        <is>
          <t>Τρ. Πληρ.</t>
        </is>
      </c>
      <c r="I4" s="15" t="inlineStr">
        <is>
          <t>Διαν. Έτος</t>
        </is>
      </c>
      <c r="J4" s="15" t="inlineStr">
        <is>
          <t>Διάρκεια</t>
        </is>
      </c>
      <c r="K4" s="15" t="inlineStr">
        <is>
          <t>Καθαρά ΒΚ (€)</t>
        </is>
      </c>
      <c r="L4" s="15" t="inlineStr">
        <is>
          <t>Καθαρά ΣΚ (€)</t>
        </is>
      </c>
      <c r="M4" s="15" t="inlineStr">
        <is>
          <t>Καθαρά Σύνολο (€)</t>
        </is>
      </c>
      <c r="N4" s="15" t="inlineStr">
        <is>
          <t>Προμήθεια ΒΚ (€)</t>
        </is>
      </c>
      <c r="O4" s="15" t="inlineStr">
        <is>
          <t>Προμήθεια ΣΚ (€)</t>
        </is>
      </c>
      <c r="P4" s="15" t="inlineStr">
        <is>
          <t>Προμήθεια Σύνολο (€)</t>
        </is>
      </c>
      <c r="Q4" s="15" t="inlineStr">
        <is>
          <t>Φόρος (€)</t>
        </is>
      </c>
      <c r="R4" s="15" t="inlineStr">
        <is>
          <t>Καθαρό Πληρωτέο (€)</t>
        </is>
      </c>
    </row>
    <row r="5" ht="20.1" customHeight="1" s="24">
      <c r="A5" s="16" t="n">
        <v>1</v>
      </c>
      <c r="B5" s="16" t="inlineStr">
        <is>
          <t>27/01/2026</t>
        </is>
      </c>
      <c r="C5" s="16" t="inlineStr">
        <is>
          <t>03/2026</t>
        </is>
      </c>
      <c r="D5" s="16" t="inlineStr">
        <is>
          <t>AGENCY</t>
        </is>
      </c>
      <c r="E5" s="16" t="n">
        <v>2026000161</v>
      </c>
      <c r="F5" s="16" t="n">
        <v>126288</v>
      </c>
      <c r="G5" s="17" t="inlineStr">
        <is>
          <t>ΤΕΖΚΟΣΑΡ ΑΓΛΑΙΑ</t>
        </is>
      </c>
      <c r="H5" s="16" t="n">
        <v>4</v>
      </c>
      <c r="I5" s="16" t="n">
        <v>1</v>
      </c>
      <c r="J5" s="16" t="n">
        <v>1</v>
      </c>
      <c r="K5" s="12" t="n">
        <v>0</v>
      </c>
      <c r="L5" s="12" t="n">
        <v>414.55</v>
      </c>
      <c r="M5" s="12" t="n">
        <v>414.55</v>
      </c>
      <c r="N5" s="12" t="n">
        <v>0</v>
      </c>
      <c r="O5" s="12" t="n">
        <v>23.24</v>
      </c>
      <c r="P5" s="12" t="n">
        <v>23.24</v>
      </c>
      <c r="Q5" s="12" t="n">
        <v>0</v>
      </c>
      <c r="R5" s="12">
        <f>P5-Q5</f>
        <v/>
      </c>
    </row>
    <row r="6" ht="20.1" customHeight="1" s="24">
      <c r="A6" s="16" t="n">
        <v>2</v>
      </c>
      <c r="B6" s="16" t="inlineStr">
        <is>
          <t>27/01/2026</t>
        </is>
      </c>
      <c r="C6" s="16" t="inlineStr">
        <is>
          <t>03/2026</t>
        </is>
      </c>
      <c r="D6" s="16" t="inlineStr">
        <is>
          <t>ΣΥΝΕΡΓΑΤΗΣ</t>
        </is>
      </c>
      <c r="E6" s="16" t="n">
        <v>2026000161</v>
      </c>
      <c r="F6" s="16" t="n">
        <v>126288</v>
      </c>
      <c r="G6" s="17" t="inlineStr">
        <is>
          <t>ΤΕΖΚΟΣΑΡ ΑΓΛΑΙΑ</t>
        </is>
      </c>
      <c r="H6" s="16" t="n">
        <v>4</v>
      </c>
      <c r="I6" s="16" t="n">
        <v>1</v>
      </c>
      <c r="J6" s="16" t="n">
        <v>1</v>
      </c>
      <c r="K6" s="12" t="n">
        <v>0</v>
      </c>
      <c r="L6" s="12" t="n">
        <v>414.55</v>
      </c>
      <c r="M6" s="12" t="n">
        <v>414.55</v>
      </c>
      <c r="N6" s="12" t="n">
        <v>0</v>
      </c>
      <c r="O6" s="12" t="n">
        <v>116.18</v>
      </c>
      <c r="P6" s="12" t="n">
        <v>116.18</v>
      </c>
      <c r="Q6" s="12" t="n">
        <v>0</v>
      </c>
      <c r="R6" s="12">
        <f>P6-Q6</f>
        <v/>
      </c>
    </row>
    <row r="7" ht="20.1" customHeight="1" s="24">
      <c r="A7" s="16" t="n">
        <v>3</v>
      </c>
      <c r="B7" s="16" t="inlineStr">
        <is>
          <t>29/01/2026</t>
        </is>
      </c>
      <c r="C7" s="16" t="inlineStr">
        <is>
          <t>02/2026</t>
        </is>
      </c>
      <c r="D7" s="16" t="inlineStr">
        <is>
          <t>AGENCY</t>
        </is>
      </c>
      <c r="E7" s="16" t="n">
        <v>2026000182</v>
      </c>
      <c r="F7" s="16" t="n">
        <v>126309</v>
      </c>
      <c r="G7" s="17" t="inlineStr">
        <is>
          <t>ΠΑΠΑΔΑΚΗΣ ΦΑΙΔΩΝ</t>
        </is>
      </c>
      <c r="H7" s="16" t="n">
        <v>1</v>
      </c>
      <c r="I7" s="16" t="n">
        <v>1</v>
      </c>
      <c r="J7" s="16" t="n">
        <v>1</v>
      </c>
      <c r="K7" s="12" t="n">
        <v>0</v>
      </c>
      <c r="L7" s="12" t="n">
        <v>896.3</v>
      </c>
      <c r="M7" s="12" t="n">
        <v>896.3</v>
      </c>
      <c r="N7" s="12" t="n">
        <v>0</v>
      </c>
      <c r="O7" s="12" t="n">
        <v>51.99</v>
      </c>
      <c r="P7" s="12" t="n">
        <v>51.99</v>
      </c>
      <c r="Q7" s="12" t="n">
        <v>0</v>
      </c>
      <c r="R7" s="12">
        <f>P7-Q7</f>
        <v/>
      </c>
    </row>
    <row r="8" ht="20.1" customHeight="1" s="24">
      <c r="A8" s="16" t="n">
        <v>4</v>
      </c>
      <c r="B8" s="16" t="inlineStr">
        <is>
          <t>02/02/2026</t>
        </is>
      </c>
      <c r="C8" s="16" t="inlineStr">
        <is>
          <t>04/2026</t>
        </is>
      </c>
      <c r="D8" s="16" t="inlineStr">
        <is>
          <t>AGENCY</t>
        </is>
      </c>
      <c r="E8" s="16" t="n">
        <v>2026000210</v>
      </c>
      <c r="F8" s="16" t="n">
        <v>126337</v>
      </c>
      <c r="G8" s="17" t="inlineStr">
        <is>
          <t>ΜΟΥΛΑΚΑΚΗΣ ΓΡΗΓΟΡΙΟΣ</t>
        </is>
      </c>
      <c r="H8" s="16" t="n">
        <v>1</v>
      </c>
      <c r="I8" s="16" t="n">
        <v>1</v>
      </c>
      <c r="J8" s="16" t="n">
        <v>20</v>
      </c>
      <c r="K8" s="12" t="n">
        <v>-390.36</v>
      </c>
      <c r="L8" s="12" t="n">
        <v>-639.41</v>
      </c>
      <c r="M8" s="12" t="n">
        <v>-1029.77</v>
      </c>
      <c r="N8" s="12" t="n">
        <v>-9.76</v>
      </c>
      <c r="O8" s="12" t="n">
        <v>-18.76</v>
      </c>
      <c r="P8" s="12" t="n">
        <v>-28.52</v>
      </c>
      <c r="Q8" s="12" t="n">
        <v>0</v>
      </c>
      <c r="R8" s="12">
        <f>P8-Q8</f>
        <v/>
      </c>
    </row>
    <row r="9" ht="20.1" customHeight="1" s="24">
      <c r="A9" s="16" t="n">
        <v>5</v>
      </c>
      <c r="B9" s="16" t="inlineStr">
        <is>
          <t>02/02/2026</t>
        </is>
      </c>
      <c r="C9" s="16" t="inlineStr">
        <is>
          <t>04/2026</t>
        </is>
      </c>
      <c r="D9" s="16" t="inlineStr">
        <is>
          <t>AGENCY</t>
        </is>
      </c>
      <c r="E9" s="16" t="n">
        <v>2026000210</v>
      </c>
      <c r="F9" s="16" t="n">
        <v>126337</v>
      </c>
      <c r="G9" s="17" t="inlineStr">
        <is>
          <t>ΜΟΥΛΑΚΑΚΗΣ ΓΡΗΓΟΡΙΟΣ</t>
        </is>
      </c>
      <c r="H9" s="16" t="n">
        <v>1</v>
      </c>
      <c r="I9" s="16" t="n">
        <v>1</v>
      </c>
      <c r="J9" s="16" t="n">
        <v>20</v>
      </c>
      <c r="K9" s="12" t="n">
        <v>390.36</v>
      </c>
      <c r="L9" s="12" t="n">
        <v>639.41</v>
      </c>
      <c r="M9" s="12" t="n">
        <v>1029.77</v>
      </c>
      <c r="N9" s="12" t="n">
        <v>9.76</v>
      </c>
      <c r="O9" s="12" t="n">
        <v>18.76</v>
      </c>
      <c r="P9" s="12" t="n">
        <v>28.52</v>
      </c>
      <c r="Q9" s="12" t="n">
        <v>0</v>
      </c>
      <c r="R9" s="12">
        <f>P9-Q9</f>
        <v/>
      </c>
    </row>
    <row r="10" ht="20.1" customHeight="1" s="24">
      <c r="A10" s="16" t="n">
        <v>6</v>
      </c>
      <c r="B10" s="16" t="inlineStr">
        <is>
          <t>14/02/2026</t>
        </is>
      </c>
      <c r="C10" s="16" t="inlineStr">
        <is>
          <t>03/2026</t>
        </is>
      </c>
      <c r="D10" s="16" t="inlineStr">
        <is>
          <t>AGENCY</t>
        </is>
      </c>
      <c r="E10" s="16" t="n">
        <v>2025000256</v>
      </c>
      <c r="F10" s="16" t="n">
        <v>80404824</v>
      </c>
      <c r="G10" s="17" t="inlineStr">
        <is>
          <t>ΒΑΒΑΤΣΙΚΟΣ ΔΗΜΗΤΡΙΟΣ</t>
        </is>
      </c>
      <c r="H10" s="16" t="n">
        <v>1</v>
      </c>
      <c r="I10" s="16" t="n">
        <v>2</v>
      </c>
      <c r="J10" s="16" t="n">
        <v>1</v>
      </c>
      <c r="K10" s="12" t="n">
        <v>0</v>
      </c>
      <c r="L10" s="12" t="n">
        <v>1093.95</v>
      </c>
      <c r="M10" s="12" t="n">
        <v>1093.95</v>
      </c>
      <c r="N10" s="12" t="n">
        <v>0</v>
      </c>
      <c r="O10" s="12" t="n">
        <v>53.01</v>
      </c>
      <c r="P10" s="12" t="n">
        <v>53.01</v>
      </c>
      <c r="Q10" s="12" t="n">
        <v>0</v>
      </c>
      <c r="R10" s="12">
        <f>P10-Q10</f>
        <v/>
      </c>
    </row>
    <row r="11" ht="20.1" customHeight="1" s="24">
      <c r="A11" s="16" t="n">
        <v>7</v>
      </c>
      <c r="B11" s="16" t="inlineStr">
        <is>
          <t>14/02/2026</t>
        </is>
      </c>
      <c r="C11" s="16" t="inlineStr">
        <is>
          <t>03/2026</t>
        </is>
      </c>
      <c r="D11" s="16" t="inlineStr">
        <is>
          <t>ΣΥΝΕΡΓΑΤΗΣ</t>
        </is>
      </c>
      <c r="E11" s="16" t="n">
        <v>2025000256</v>
      </c>
      <c r="F11" s="16" t="n">
        <v>80404824</v>
      </c>
      <c r="G11" s="17" t="inlineStr">
        <is>
          <t>ΒΑΒΑΤΣΙΚΟΣ ΔΗΜΗΤΡΙΟΣ</t>
        </is>
      </c>
      <c r="H11" s="16" t="n">
        <v>1</v>
      </c>
      <c r="I11" s="16" t="n">
        <v>2</v>
      </c>
      <c r="J11" s="16" t="n">
        <v>1</v>
      </c>
      <c r="K11" s="12" t="n">
        <v>0</v>
      </c>
      <c r="L11" s="12" t="n">
        <v>1093.95</v>
      </c>
      <c r="M11" s="12" t="n">
        <v>1093.95</v>
      </c>
      <c r="N11" s="12" t="n">
        <v>0</v>
      </c>
      <c r="O11" s="12" t="n">
        <v>265.07</v>
      </c>
      <c r="P11" s="12" t="n">
        <v>265.07</v>
      </c>
      <c r="Q11" s="12" t="n">
        <v>0</v>
      </c>
      <c r="R11" s="12">
        <f>P11-Q11</f>
        <v/>
      </c>
    </row>
    <row r="12" ht="20.1" customHeight="1" s="24">
      <c r="A12" s="16" t="n">
        <v>8</v>
      </c>
      <c r="B12" s="16" t="inlineStr">
        <is>
          <t>14/02/2026</t>
        </is>
      </c>
      <c r="C12" s="16" t="inlineStr">
        <is>
          <t>03/2026</t>
        </is>
      </c>
      <c r="D12" s="16" t="inlineStr">
        <is>
          <t>AGENCY</t>
        </is>
      </c>
      <c r="E12" s="16" t="n">
        <v>2025000256</v>
      </c>
      <c r="F12" s="16" t="n">
        <v>80404824</v>
      </c>
      <c r="G12" s="17" t="inlineStr">
        <is>
          <t>ΒΑΒΑΤΣΙΚΟΣ ΔΗΜΗΤΡΙΟΣ</t>
        </is>
      </c>
      <c r="H12" s="16" t="n">
        <v>1</v>
      </c>
      <c r="I12" s="16" t="n">
        <v>2</v>
      </c>
      <c r="J12" s="16" t="n">
        <v>1</v>
      </c>
      <c r="K12" s="12" t="n">
        <v>0</v>
      </c>
      <c r="L12" s="12" t="n">
        <v>-1093.95</v>
      </c>
      <c r="M12" s="12" t="n">
        <v>-1093.95</v>
      </c>
      <c r="N12" s="12" t="n">
        <v>0</v>
      </c>
      <c r="O12" s="12" t="n">
        <v>-53.01</v>
      </c>
      <c r="P12" s="12" t="n">
        <v>-53.01</v>
      </c>
      <c r="Q12" s="12" t="n">
        <v>0</v>
      </c>
      <c r="R12" s="12">
        <f>P12-Q12</f>
        <v/>
      </c>
    </row>
    <row r="13" ht="20.1" customHeight="1" s="24">
      <c r="A13" s="16" t="n">
        <v>9</v>
      </c>
      <c r="B13" s="16" t="inlineStr">
        <is>
          <t>14/02/2026</t>
        </is>
      </c>
      <c r="C13" s="16" t="inlineStr">
        <is>
          <t>03/2026</t>
        </is>
      </c>
      <c r="D13" s="16" t="inlineStr">
        <is>
          <t>ΣΥΝΕΡΓΑΤΗΣ</t>
        </is>
      </c>
      <c r="E13" s="16" t="n">
        <v>2025000256</v>
      </c>
      <c r="F13" s="16" t="n">
        <v>80404824</v>
      </c>
      <c r="G13" s="17" t="inlineStr">
        <is>
          <t>ΒΑΒΑΤΣΙΚΟΣ ΔΗΜΗΤΡΙΟΣ</t>
        </is>
      </c>
      <c r="H13" s="16" t="n">
        <v>1</v>
      </c>
      <c r="I13" s="16" t="n">
        <v>2</v>
      </c>
      <c r="J13" s="16" t="n">
        <v>1</v>
      </c>
      <c r="K13" s="12" t="n">
        <v>0</v>
      </c>
      <c r="L13" s="12" t="n">
        <v>-1093.95</v>
      </c>
      <c r="M13" s="12" t="n">
        <v>-1093.95</v>
      </c>
      <c r="N13" s="12" t="n">
        <v>0</v>
      </c>
      <c r="O13" s="12" t="n">
        <v>-265.07</v>
      </c>
      <c r="P13" s="12" t="n">
        <v>-265.07</v>
      </c>
      <c r="Q13" s="12" t="n">
        <v>0</v>
      </c>
      <c r="R13" s="12">
        <f>P13-Q13</f>
        <v/>
      </c>
    </row>
    <row r="14" ht="20.1" customHeight="1" s="24">
      <c r="A14" s="16" t="n">
        <v>10</v>
      </c>
      <c r="B14" s="16" t="inlineStr">
        <is>
          <t>17/02/2026</t>
        </is>
      </c>
      <c r="C14" s="16" t="inlineStr">
        <is>
          <t>02/2026</t>
        </is>
      </c>
      <c r="D14" s="16" t="inlineStr">
        <is>
          <t>ΣΥΝΕΡΓΑΤΗΣ</t>
        </is>
      </c>
      <c r="E14" s="16" t="n">
        <v>2021000340</v>
      </c>
      <c r="F14" s="16" t="n">
        <v>80405097</v>
      </c>
      <c r="G14" s="17" t="inlineStr">
        <is>
          <t>ΚΟΥΠΑΛΟΓΛΟΥ ΑΒΑΠΤΙΣΤΟ</t>
        </is>
      </c>
      <c r="H14" s="16" t="n">
        <v>1</v>
      </c>
      <c r="I14" s="16" t="n">
        <v>6</v>
      </c>
      <c r="J14" s="16" t="n">
        <v>1</v>
      </c>
      <c r="K14" s="12" t="n">
        <v>0</v>
      </c>
      <c r="L14" s="12" t="n">
        <v>359.74</v>
      </c>
      <c r="M14" s="12" t="n">
        <v>359.74</v>
      </c>
      <c r="N14" s="12" t="n">
        <v>0</v>
      </c>
      <c r="O14" s="12" t="n">
        <v>89.94</v>
      </c>
      <c r="P14" s="12" t="n">
        <v>89.94</v>
      </c>
      <c r="Q14" s="12" t="n">
        <v>0</v>
      </c>
      <c r="R14" s="12">
        <f>P14-Q14</f>
        <v/>
      </c>
    </row>
    <row r="15" ht="20.1" customHeight="1" s="24">
      <c r="A15" s="16" t="n">
        <v>11</v>
      </c>
      <c r="B15" s="16" t="inlineStr">
        <is>
          <t>24/02/2026</t>
        </is>
      </c>
      <c r="C15" s="16" t="inlineStr">
        <is>
          <t>03/2026</t>
        </is>
      </c>
      <c r="D15" s="16" t="inlineStr">
        <is>
          <t>AGENCY</t>
        </is>
      </c>
      <c r="E15" s="16" t="n">
        <v>2026000457</v>
      </c>
      <c r="F15" s="16" t="n">
        <v>126592</v>
      </c>
      <c r="G15" s="17" t="inlineStr">
        <is>
          <t>ΜΟΥΛΑΚΑΚΗΣ ΓΡΗΓΟΡΙΟΣ</t>
        </is>
      </c>
      <c r="H15" s="16" t="n">
        <v>1</v>
      </c>
      <c r="I15" s="16" t="n">
        <v>1</v>
      </c>
      <c r="J15" s="16" t="n">
        <v>20</v>
      </c>
      <c r="K15" s="12" t="n">
        <v>390.36</v>
      </c>
      <c r="L15" s="12" t="n">
        <v>483.8</v>
      </c>
      <c r="M15" s="12" t="n">
        <v>874.16</v>
      </c>
      <c r="N15" s="12" t="n">
        <v>19.52</v>
      </c>
      <c r="O15" s="12" t="n">
        <v>28.11</v>
      </c>
      <c r="P15" s="12" t="n">
        <v>47.63</v>
      </c>
      <c r="Q15" s="12" t="n">
        <v>0</v>
      </c>
      <c r="R15" s="12">
        <f>P15-Q15</f>
        <v/>
      </c>
    </row>
    <row r="16" ht="20.1" customHeight="1" s="24">
      <c r="A16" s="16" t="n">
        <v>12</v>
      </c>
      <c r="B16" s="16" t="inlineStr">
        <is>
          <t>24/02/2026</t>
        </is>
      </c>
      <c r="C16" s="16" t="inlineStr">
        <is>
          <t>03/2026</t>
        </is>
      </c>
      <c r="D16" s="16" t="inlineStr">
        <is>
          <t>ΣΥΝΕΡΓΑΤΗΣ</t>
        </is>
      </c>
      <c r="E16" s="16" t="n">
        <v>2026000457</v>
      </c>
      <c r="F16" s="16" t="n">
        <v>126592</v>
      </c>
      <c r="G16" s="17" t="inlineStr">
        <is>
          <t>ΜΟΥΛΑΚΑΚΗΣ ΓΡΗΓΟΡΙΟΣ</t>
        </is>
      </c>
      <c r="H16" s="16" t="n">
        <v>1</v>
      </c>
      <c r="I16" s="16" t="n">
        <v>1</v>
      </c>
      <c r="J16" s="16" t="n">
        <v>20</v>
      </c>
      <c r="K16" s="12" t="n">
        <v>390.36</v>
      </c>
      <c r="L16" s="12" t="n">
        <v>483.8</v>
      </c>
      <c r="M16" s="12" t="n">
        <v>874.16</v>
      </c>
      <c r="N16" s="12" t="n">
        <v>97.59</v>
      </c>
      <c r="O16" s="12" t="n">
        <v>140.52</v>
      </c>
      <c r="P16" s="12" t="n">
        <v>238.11</v>
      </c>
      <c r="Q16" s="12" t="n">
        <v>0</v>
      </c>
      <c r="R16" s="12">
        <f>P16-Q16</f>
        <v/>
      </c>
    </row>
    <row r="17" ht="20.1" customHeight="1" s="24">
      <c r="A17" s="16" t="n">
        <v>13</v>
      </c>
      <c r="B17" s="16" t="inlineStr">
        <is>
          <t>21/03/2026</t>
        </is>
      </c>
      <c r="C17" s="16" t="inlineStr">
        <is>
          <t>03/2026</t>
        </is>
      </c>
      <c r="D17" s="16" t="inlineStr">
        <is>
          <t>ΣΥΝΕΡΓΑΤΗΣ</t>
        </is>
      </c>
      <c r="E17" s="16" t="n">
        <v>296632</v>
      </c>
      <c r="F17" s="16" t="n">
        <v>80409917</v>
      </c>
      <c r="G17" s="17" t="inlineStr">
        <is>
          <t>ΚΟΝΤΟΣ ΚΩΝΣΤΑΝΤΙΝΟΣ</t>
        </is>
      </c>
      <c r="H17" s="16" t="n">
        <v>4</v>
      </c>
      <c r="I17" s="16" t="n">
        <v>27</v>
      </c>
      <c r="J17" s="16" t="n">
        <v>99</v>
      </c>
      <c r="K17" s="12" t="n">
        <v>16.57</v>
      </c>
      <c r="L17" s="12" t="n">
        <v>199.54</v>
      </c>
      <c r="M17" s="12" t="n">
        <v>216.11</v>
      </c>
      <c r="N17" s="12" t="n">
        <v>0</v>
      </c>
      <c r="O17" s="12" t="n">
        <v>0</v>
      </c>
      <c r="P17" s="12" t="n">
        <v>0</v>
      </c>
      <c r="Q17" s="12" t="n">
        <v>0</v>
      </c>
      <c r="R17" s="12">
        <f>P17-Q17</f>
        <v/>
      </c>
    </row>
    <row r="18" ht="20.1" customHeight="1" s="24">
      <c r="A18" s="16" t="n">
        <v>14</v>
      </c>
      <c r="B18" s="16" t="inlineStr">
        <is>
          <t>27/03/2026</t>
        </is>
      </c>
      <c r="C18" s="16" t="inlineStr">
        <is>
          <t>03/2026</t>
        </is>
      </c>
      <c r="D18" s="16" t="inlineStr">
        <is>
          <t>ΣΥΝΕΡΓΑΤΗΣ</t>
        </is>
      </c>
      <c r="E18" s="16" t="n">
        <v>2022005568</v>
      </c>
      <c r="F18" s="16" t="n">
        <v>80410903</v>
      </c>
      <c r="G18" s="17" t="inlineStr">
        <is>
          <t>ΣΑΡΑΦΙΔΟΥ ΕΛΕΝΗ</t>
        </is>
      </c>
      <c r="H18" s="16" t="n">
        <v>2</v>
      </c>
      <c r="I18" s="16" t="n">
        <v>4</v>
      </c>
      <c r="J18" s="16" t="n">
        <v>25</v>
      </c>
      <c r="K18" s="12" t="n">
        <v>63.92</v>
      </c>
      <c r="L18" s="12" t="n">
        <v>8.970000000000001</v>
      </c>
      <c r="M18" s="12" t="n">
        <v>72.89</v>
      </c>
      <c r="N18" s="12" t="n">
        <v>3.76</v>
      </c>
      <c r="O18" s="12" t="n">
        <v>2.42</v>
      </c>
      <c r="P18" s="12" t="n">
        <v>6.18</v>
      </c>
      <c r="Q18" s="12" t="n">
        <v>0</v>
      </c>
      <c r="R18" s="12">
        <f>P18-Q18</f>
        <v/>
      </c>
    </row>
    <row r="19" ht="20.1" customHeight="1" s="24">
      <c r="A19" s="16" t="n">
        <v>15</v>
      </c>
      <c r="B19" s="16" t="inlineStr">
        <is>
          <t>27/03/2026</t>
        </is>
      </c>
      <c r="C19" s="16" t="inlineStr">
        <is>
          <t>03/2026</t>
        </is>
      </c>
      <c r="D19" s="16" t="inlineStr">
        <is>
          <t>AGENCY</t>
        </is>
      </c>
      <c r="E19" s="16" t="n">
        <v>2025001066</v>
      </c>
      <c r="F19" s="16" t="n">
        <v>80410942</v>
      </c>
      <c r="G19" s="17" t="inlineStr">
        <is>
          <t>ΚΑΤΣΙΓΙΑΝΝΑΚΗ ΚΑΛΛΙΟΠΗ</t>
        </is>
      </c>
      <c r="H19" s="16" t="n">
        <v>4</v>
      </c>
      <c r="I19" s="16" t="n">
        <v>1</v>
      </c>
      <c r="J19" s="16" t="n">
        <v>15</v>
      </c>
      <c r="K19" s="12" t="n">
        <v>138.63</v>
      </c>
      <c r="L19" s="12" t="n">
        <v>7</v>
      </c>
      <c r="M19" s="12" t="n">
        <v>145.63</v>
      </c>
      <c r="N19" s="12" t="n">
        <v>3.37</v>
      </c>
      <c r="O19" s="12" t="n">
        <v>0.19</v>
      </c>
      <c r="P19" s="12" t="n">
        <v>3.56</v>
      </c>
      <c r="Q19" s="12" t="n">
        <v>0</v>
      </c>
      <c r="R19" s="12">
        <f>P19-Q19</f>
        <v/>
      </c>
    </row>
    <row r="20" ht="20.1" customHeight="1" s="24">
      <c r="A20" s="16" t="n">
        <v>16</v>
      </c>
      <c r="B20" s="16" t="inlineStr">
        <is>
          <t>30/03/2026</t>
        </is>
      </c>
      <c r="C20" s="16" t="inlineStr">
        <is>
          <t>03/2026</t>
        </is>
      </c>
      <c r="D20" s="16" t="inlineStr">
        <is>
          <t>AGENCY</t>
        </is>
      </c>
      <c r="E20" s="16" t="n">
        <v>2025001836</v>
      </c>
      <c r="F20" s="16" t="n">
        <v>80411824</v>
      </c>
      <c r="G20" s="17" t="inlineStr">
        <is>
          <t>ΣΤΕΡΓΙΟΥ ΑΒΑΠΤΙΣΤΟ</t>
        </is>
      </c>
      <c r="H20" s="16" t="n">
        <v>4</v>
      </c>
      <c r="I20" s="16" t="n">
        <v>1</v>
      </c>
      <c r="J20" s="16" t="n">
        <v>1</v>
      </c>
      <c r="K20" s="12" t="n">
        <v>0</v>
      </c>
      <c r="L20" s="12" t="n">
        <v>174.8</v>
      </c>
      <c r="M20" s="12" t="n">
        <v>174.8</v>
      </c>
      <c r="N20" s="12" t="n">
        <v>0</v>
      </c>
      <c r="O20" s="12" t="n">
        <v>9.84</v>
      </c>
      <c r="P20" s="12" t="n">
        <v>9.84</v>
      </c>
      <c r="Q20" s="12" t="n">
        <v>0</v>
      </c>
      <c r="R20" s="12">
        <f>P20-Q20</f>
        <v/>
      </c>
    </row>
    <row r="21" ht="20.1" customHeight="1" s="24">
      <c r="A21" s="16" t="n">
        <v>17</v>
      </c>
      <c r="B21" s="16" t="inlineStr">
        <is>
          <t>05/04/2026</t>
        </is>
      </c>
      <c r="C21" s="16" t="inlineStr">
        <is>
          <t>05/2026</t>
        </is>
      </c>
      <c r="D21" s="16" t="inlineStr">
        <is>
          <t>AGENCY</t>
        </is>
      </c>
      <c r="E21" s="16" t="n">
        <v>2023001613</v>
      </c>
      <c r="F21" s="16" t="n">
        <v>80412743</v>
      </c>
      <c r="G21" s="17" t="inlineStr">
        <is>
          <t>ΤΑΡΑΝΗΣ ΙΓΝΑΤΙΟΣ</t>
        </is>
      </c>
      <c r="H21" s="16" t="n">
        <v>1</v>
      </c>
      <c r="I21" s="16" t="n">
        <v>4</v>
      </c>
      <c r="J21" s="16" t="n">
        <v>1</v>
      </c>
      <c r="K21" s="12" t="n">
        <v>0</v>
      </c>
      <c r="L21" s="12" t="n">
        <v>202.37</v>
      </c>
      <c r="M21" s="12" t="n">
        <v>202.37</v>
      </c>
      <c r="N21" s="12" t="n">
        <v>0</v>
      </c>
      <c r="O21" s="12" t="n">
        <v>10.12</v>
      </c>
      <c r="P21" s="12" t="n">
        <v>10.12</v>
      </c>
      <c r="Q21" s="12" t="n">
        <v>0</v>
      </c>
      <c r="R21" s="12">
        <f>P21-Q21</f>
        <v/>
      </c>
    </row>
    <row r="22" ht="20.1" customHeight="1" s="24">
      <c r="A22" s="16" t="n">
        <v>18</v>
      </c>
      <c r="B22" s="16" t="inlineStr">
        <is>
          <t>05/04/2026</t>
        </is>
      </c>
      <c r="C22" s="16" t="inlineStr">
        <is>
          <t>05/2026</t>
        </is>
      </c>
      <c r="D22" s="16" t="inlineStr">
        <is>
          <t>ΣΥΝΕΡΓΑΤΗΣ</t>
        </is>
      </c>
      <c r="E22" s="16" t="n">
        <v>2023001613</v>
      </c>
      <c r="F22" s="16" t="n">
        <v>80412743</v>
      </c>
      <c r="G22" s="17" t="inlineStr">
        <is>
          <t>ΤΑΡΑΝΗΣ ΙΓΝΑΤΙΟΣ</t>
        </is>
      </c>
      <c r="H22" s="16" t="n">
        <v>1</v>
      </c>
      <c r="I22" s="16" t="n">
        <v>4</v>
      </c>
      <c r="J22" s="16" t="n">
        <v>1</v>
      </c>
      <c r="K22" s="12" t="n">
        <v>0</v>
      </c>
      <c r="L22" s="12" t="n">
        <v>202.37</v>
      </c>
      <c r="M22" s="12" t="n">
        <v>202.37</v>
      </c>
      <c r="N22" s="12" t="n">
        <v>0</v>
      </c>
      <c r="O22" s="12" t="n">
        <v>50.59</v>
      </c>
      <c r="P22" s="12" t="n">
        <v>50.59</v>
      </c>
      <c r="Q22" s="12" t="n">
        <v>0</v>
      </c>
      <c r="R22" s="12">
        <f>P22-Q22</f>
        <v/>
      </c>
    </row>
    <row r="23" ht="20.1" customHeight="1" s="24">
      <c r="A23" s="16" t="n">
        <v>19</v>
      </c>
      <c r="B23" s="16" t="inlineStr">
        <is>
          <t>08/04/2026</t>
        </is>
      </c>
      <c r="C23" s="16" t="inlineStr">
        <is>
          <t>04/2026</t>
        </is>
      </c>
      <c r="D23" s="16" t="inlineStr">
        <is>
          <t>AGENCY</t>
        </is>
      </c>
      <c r="E23" s="16" t="n">
        <v>2026000765</v>
      </c>
      <c r="F23" s="16" t="n">
        <v>126897</v>
      </c>
      <c r="G23" s="17" t="inlineStr">
        <is>
          <t>ΠΑΛΙΑΤΣΑΣ ΑΘΑΝΑΣΙΟΣ</t>
        </is>
      </c>
      <c r="H23" s="16" t="n">
        <v>1</v>
      </c>
      <c r="I23" s="16" t="n">
        <v>1</v>
      </c>
      <c r="J23" s="16" t="n">
        <v>1</v>
      </c>
      <c r="K23" s="12" t="n">
        <v>0</v>
      </c>
      <c r="L23" s="12" t="n">
        <v>666.12</v>
      </c>
      <c r="M23" s="12" t="n">
        <v>666.12</v>
      </c>
      <c r="N23" s="12" t="n">
        <v>0</v>
      </c>
      <c r="O23" s="12" t="n">
        <v>38.63</v>
      </c>
      <c r="P23" s="12" t="n">
        <v>38.63</v>
      </c>
      <c r="Q23" s="12" t="n">
        <v>0</v>
      </c>
      <c r="R23" s="12">
        <f>P23-Q23</f>
        <v/>
      </c>
    </row>
    <row r="24" ht="20.1" customHeight="1" s="24">
      <c r="A24" s="16" t="n">
        <v>20</v>
      </c>
      <c r="B24" s="16" t="inlineStr">
        <is>
          <t>08/04/2026</t>
        </is>
      </c>
      <c r="C24" s="16" t="inlineStr">
        <is>
          <t>04/2026</t>
        </is>
      </c>
      <c r="D24" s="16" t="inlineStr">
        <is>
          <t>ΣΥΝΕΡΓΑΤΗΣ</t>
        </is>
      </c>
      <c r="E24" s="16" t="n">
        <v>2026000765</v>
      </c>
      <c r="F24" s="16" t="n">
        <v>126897</v>
      </c>
      <c r="G24" s="17" t="inlineStr">
        <is>
          <t>ΠΑΛΙΑΤΣΑΣ ΑΘΑΝΑΣΙΟΣ</t>
        </is>
      </c>
      <c r="H24" s="16" t="n">
        <v>1</v>
      </c>
      <c r="I24" s="16" t="n">
        <v>1</v>
      </c>
      <c r="J24" s="16" t="n">
        <v>1</v>
      </c>
      <c r="K24" s="12" t="n">
        <v>0</v>
      </c>
      <c r="L24" s="12" t="n">
        <v>666.12</v>
      </c>
      <c r="M24" s="12" t="n">
        <v>666.12</v>
      </c>
      <c r="N24" s="12" t="n">
        <v>0</v>
      </c>
      <c r="O24" s="12" t="n">
        <v>193.17</v>
      </c>
      <c r="P24" s="12" t="n">
        <v>193.17</v>
      </c>
      <c r="Q24" s="12" t="n">
        <v>0</v>
      </c>
      <c r="R24" s="12">
        <f>P24-Q24</f>
        <v/>
      </c>
    </row>
    <row r="25" ht="20.1" customHeight="1" s="24">
      <c r="A25" s="16" t="n">
        <v>21</v>
      </c>
      <c r="B25" s="16" t="inlineStr">
        <is>
          <t>27/04/2026</t>
        </is>
      </c>
      <c r="C25" s="16" t="inlineStr">
        <is>
          <t>04/2026</t>
        </is>
      </c>
      <c r="D25" s="16" t="inlineStr">
        <is>
          <t>AGENCY</t>
        </is>
      </c>
      <c r="E25" s="16" t="n">
        <v>2026000161</v>
      </c>
      <c r="F25" s="16" t="n">
        <v>80415871</v>
      </c>
      <c r="G25" s="17" t="inlineStr">
        <is>
          <t>ΤΕΖΚΟΣΑΡ ΑΓΛΑΙΑ</t>
        </is>
      </c>
      <c r="H25" s="16" t="n">
        <v>4</v>
      </c>
      <c r="I25" s="16" t="n">
        <v>1</v>
      </c>
      <c r="J25" s="16" t="n">
        <v>1</v>
      </c>
      <c r="K25" s="12" t="n">
        <v>0</v>
      </c>
      <c r="L25" s="12" t="n">
        <v>414.55</v>
      </c>
      <c r="M25" s="12" t="n">
        <v>414.55</v>
      </c>
      <c r="N25" s="12" t="n">
        <v>0</v>
      </c>
      <c r="O25" s="12" t="n">
        <v>23.24</v>
      </c>
      <c r="P25" s="12" t="n">
        <v>23.24</v>
      </c>
      <c r="Q25" s="12" t="n">
        <v>0</v>
      </c>
      <c r="R25" s="12">
        <f>P25-Q25</f>
        <v/>
      </c>
    </row>
    <row r="26" ht="20.1" customHeight="1" s="24">
      <c r="A26" s="16" t="n">
        <v>22</v>
      </c>
      <c r="B26" s="16" t="inlineStr">
        <is>
          <t>27/04/2026</t>
        </is>
      </c>
      <c r="C26" s="16" t="inlineStr">
        <is>
          <t>04/2026</t>
        </is>
      </c>
      <c r="D26" s="16" t="inlineStr">
        <is>
          <t>ΣΥΝΕΡΓΑΤΗΣ</t>
        </is>
      </c>
      <c r="E26" s="16" t="n">
        <v>2026000161</v>
      </c>
      <c r="F26" s="16" t="n">
        <v>80415871</v>
      </c>
      <c r="G26" s="17" t="inlineStr">
        <is>
          <t>ΤΕΖΚΟΣΑΡ ΑΓΛΑΙΑ</t>
        </is>
      </c>
      <c r="H26" s="16" t="n">
        <v>4</v>
      </c>
      <c r="I26" s="16" t="n">
        <v>1</v>
      </c>
      <c r="J26" s="16" t="n">
        <v>1</v>
      </c>
      <c r="K26" s="12" t="n">
        <v>0</v>
      </c>
      <c r="L26" s="12" t="n">
        <v>414.55</v>
      </c>
      <c r="M26" s="12" t="n">
        <v>414.55</v>
      </c>
      <c r="N26" s="12" t="n">
        <v>0</v>
      </c>
      <c r="O26" s="12" t="n">
        <v>116.18</v>
      </c>
      <c r="P26" s="12" t="n">
        <v>116.18</v>
      </c>
      <c r="Q26" s="12" t="n">
        <v>0</v>
      </c>
      <c r="R26" s="12">
        <f>P26-Q26</f>
        <v/>
      </c>
    </row>
    <row r="27" ht="20.1" customHeight="1" s="24">
      <c r="A27" s="16" t="n">
        <v>23</v>
      </c>
      <c r="B27" s="16" t="inlineStr">
        <is>
          <t>21/06/2026</t>
        </is>
      </c>
      <c r="C27" s="16" t="inlineStr">
        <is>
          <t>06/2026</t>
        </is>
      </c>
      <c r="D27" s="16" t="inlineStr">
        <is>
          <t>ΣΥΝΕΡΓΑΤΗΣ</t>
        </is>
      </c>
      <c r="E27" s="16" t="n">
        <v>296632</v>
      </c>
      <c r="F27" s="16" t="n">
        <v>80424650</v>
      </c>
      <c r="G27" s="17" t="inlineStr">
        <is>
          <t>ΚΟΝΤΟΣ ΚΩΝΣΤΑΝΤΙΝΟΣ</t>
        </is>
      </c>
      <c r="H27" s="16" t="n">
        <v>4</v>
      </c>
      <c r="I27" s="16" t="n">
        <v>28</v>
      </c>
      <c r="J27" s="16" t="n">
        <v>99</v>
      </c>
      <c r="K27" s="12" t="n">
        <v>16.57</v>
      </c>
      <c r="L27" s="12" t="n">
        <v>222.37</v>
      </c>
      <c r="M27" s="12" t="n">
        <v>238.94</v>
      </c>
      <c r="N27" s="12" t="n">
        <v>0</v>
      </c>
      <c r="O27" s="12" t="n">
        <v>0</v>
      </c>
      <c r="P27" s="12" t="n">
        <v>0</v>
      </c>
      <c r="Q27" s="12" t="n">
        <v>0</v>
      </c>
      <c r="R27" s="12">
        <f>P27-Q27</f>
        <v/>
      </c>
    </row>
    <row r="28" ht="20.1" customHeight="1" s="24">
      <c r="A28" s="16" t="n">
        <v>24</v>
      </c>
      <c r="B28" s="16" t="inlineStr">
        <is>
          <t>27/06/2026</t>
        </is>
      </c>
      <c r="C28" s="16" t="inlineStr">
        <is>
          <t>07/2026</t>
        </is>
      </c>
      <c r="D28" s="16" t="inlineStr">
        <is>
          <t>AGENCY</t>
        </is>
      </c>
      <c r="E28" s="16" t="n">
        <v>2025001066</v>
      </c>
      <c r="F28" s="16" t="n">
        <v>80425699</v>
      </c>
      <c r="G28" s="17" t="inlineStr">
        <is>
          <t>ΚΑΤΣΙΓΙΑΝΝΑΚΗ ΚΑΛΛΙΟΠΗ</t>
        </is>
      </c>
      <c r="H28" s="16" t="n">
        <v>4</v>
      </c>
      <c r="I28" s="16" t="n">
        <v>2</v>
      </c>
      <c r="J28" s="16" t="n">
        <v>15</v>
      </c>
      <c r="K28" s="12" t="n">
        <v>138.63</v>
      </c>
      <c r="L28" s="12" t="n">
        <v>7</v>
      </c>
      <c r="M28" s="12" t="n">
        <v>145.63</v>
      </c>
      <c r="N28" s="12" t="n">
        <v>2.69</v>
      </c>
      <c r="O28" s="12" t="n">
        <v>0.19</v>
      </c>
      <c r="P28" s="12" t="n">
        <v>2.88</v>
      </c>
      <c r="Q28" s="12" t="n">
        <v>0</v>
      </c>
      <c r="R28" s="12">
        <f>P28-Q28</f>
        <v/>
      </c>
    </row>
    <row r="29" ht="20.1" customHeight="1" s="24">
      <c r="A29" s="16" t="n">
        <v>25</v>
      </c>
      <c r="B29" s="16" t="inlineStr">
        <is>
          <t>30/06/2026</t>
        </is>
      </c>
      <c r="C29" s="16" t="inlineStr">
        <is>
          <t>06/2026</t>
        </is>
      </c>
      <c r="D29" s="16" t="inlineStr">
        <is>
          <t>AGENCY</t>
        </is>
      </c>
      <c r="E29" s="16" t="n">
        <v>2025001836</v>
      </c>
      <c r="F29" s="16" t="n">
        <v>80426820</v>
      </c>
      <c r="G29" s="17" t="inlineStr">
        <is>
          <t>ΣΤΕΡΓΙΟΥ ΑΒΑΠΤΙΣΤΟ</t>
        </is>
      </c>
      <c r="H29" s="16" t="n">
        <v>4</v>
      </c>
      <c r="I29" s="16" t="n">
        <v>1</v>
      </c>
      <c r="J29" s="16" t="n">
        <v>1</v>
      </c>
      <c r="K29" s="12" t="n">
        <v>0</v>
      </c>
      <c r="L29" s="12" t="n">
        <v>174.8</v>
      </c>
      <c r="M29" s="12" t="n">
        <v>174.8</v>
      </c>
      <c r="N29" s="12" t="n">
        <v>0</v>
      </c>
      <c r="O29" s="12" t="n">
        <v>9.84</v>
      </c>
      <c r="P29" s="12" t="n">
        <v>9.84</v>
      </c>
      <c r="Q29" s="12" t="n">
        <v>0</v>
      </c>
      <c r="R29" s="12">
        <f>P29-Q29</f>
        <v/>
      </c>
    </row>
    <row r="30" ht="20.1" customHeight="1" s="24">
      <c r="A30" s="16" t="n">
        <v>26</v>
      </c>
      <c r="B30" s="16" t="inlineStr">
        <is>
          <t>13/07/2026</t>
        </is>
      </c>
      <c r="C30" s="16" t="inlineStr">
        <is>
          <t>07/2026</t>
        </is>
      </c>
      <c r="D30" s="16" t="inlineStr">
        <is>
          <t>AGENCY</t>
        </is>
      </c>
      <c r="E30" s="16" t="n">
        <v>2025000058</v>
      </c>
      <c r="F30" s="16" t="n">
        <v>80428604</v>
      </c>
      <c r="G30" s="17" t="inlineStr">
        <is>
          <t>ΤΣΑΠΡΑΛΗΣ ΚΩΝΣΤΑΝΤΙΝΟΣ</t>
        </is>
      </c>
      <c r="H30" s="16" t="n">
        <v>2</v>
      </c>
      <c r="I30" s="16" t="n">
        <v>2</v>
      </c>
      <c r="J30" s="16" t="n">
        <v>1</v>
      </c>
      <c r="K30" s="12" t="n">
        <v>0</v>
      </c>
      <c r="L30" s="12" t="n">
        <v>322.09</v>
      </c>
      <c r="M30" s="12" t="n">
        <v>322.09</v>
      </c>
      <c r="N30" s="12" t="n">
        <v>0</v>
      </c>
      <c r="O30" s="12" t="n">
        <v>15.79</v>
      </c>
      <c r="P30" s="12" t="n">
        <v>15.79</v>
      </c>
      <c r="Q30" s="12" t="n">
        <v>0</v>
      </c>
      <c r="R30" s="12">
        <f>P30-Q30</f>
        <v/>
      </c>
    </row>
    <row r="31" ht="20.1" customHeight="1" s="24">
      <c r="A31" s="16" t="n">
        <v>27</v>
      </c>
      <c r="B31" s="16" t="inlineStr">
        <is>
          <t>27/07/2026</t>
        </is>
      </c>
      <c r="C31" s="16" t="inlineStr">
        <is>
          <t>07/2026</t>
        </is>
      </c>
      <c r="D31" s="16" t="inlineStr">
        <is>
          <t>AGENCY</t>
        </is>
      </c>
      <c r="E31" s="16" t="n">
        <v>2026000161</v>
      </c>
      <c r="F31" s="16" t="n">
        <v>80430703</v>
      </c>
      <c r="G31" s="17" t="inlineStr">
        <is>
          <t>ΤΕΖΚΟΣΑΡ ΑΓΛΑΙΑ</t>
        </is>
      </c>
      <c r="H31" s="16" t="n">
        <v>4</v>
      </c>
      <c r="I31" s="16" t="n">
        <v>1</v>
      </c>
      <c r="J31" s="16" t="n">
        <v>1</v>
      </c>
      <c r="K31" s="12" t="n">
        <v>0</v>
      </c>
      <c r="L31" s="12" t="n">
        <v>414.55</v>
      </c>
      <c r="M31" s="12" t="n">
        <v>414.55</v>
      </c>
      <c r="N31" s="12" t="n">
        <v>0</v>
      </c>
      <c r="O31" s="12" t="n">
        <v>23.24</v>
      </c>
      <c r="P31" s="12" t="n">
        <v>23.24</v>
      </c>
      <c r="Q31" s="12" t="n">
        <v>0</v>
      </c>
      <c r="R31" s="12">
        <f>P31-Q31</f>
        <v/>
      </c>
    </row>
    <row r="32" ht="20.1" customHeight="1" s="24">
      <c r="A32" s="16" t="n">
        <v>28</v>
      </c>
      <c r="B32" s="16" t="inlineStr">
        <is>
          <t>27/07/2026</t>
        </is>
      </c>
      <c r="C32" s="16" t="inlineStr">
        <is>
          <t>07/2026</t>
        </is>
      </c>
      <c r="D32" s="16" t="inlineStr">
        <is>
          <t>ΣΥΝΕΡΓΑΤΗΣ</t>
        </is>
      </c>
      <c r="E32" s="16" t="n">
        <v>2026000161</v>
      </c>
      <c r="F32" s="16" t="n">
        <v>80430703</v>
      </c>
      <c r="G32" s="17" t="inlineStr">
        <is>
          <t>ΤΕΖΚΟΣΑΡ ΑΓΛΑΙΑ</t>
        </is>
      </c>
      <c r="H32" s="16" t="n">
        <v>4</v>
      </c>
      <c r="I32" s="16" t="n">
        <v>1</v>
      </c>
      <c r="J32" s="16" t="n">
        <v>1</v>
      </c>
      <c r="K32" s="12" t="n">
        <v>0</v>
      </c>
      <c r="L32" s="12" t="n">
        <v>414.55</v>
      </c>
      <c r="M32" s="12" t="n">
        <v>414.55</v>
      </c>
      <c r="N32" s="12" t="n">
        <v>0</v>
      </c>
      <c r="O32" s="12" t="n">
        <v>116.18</v>
      </c>
      <c r="P32" s="12" t="n">
        <v>116.18</v>
      </c>
      <c r="Q32" s="12" t="n">
        <v>0</v>
      </c>
      <c r="R32" s="12">
        <f>P32-Q32</f>
        <v/>
      </c>
    </row>
    <row r="33" ht="24" customHeight="1" s="24">
      <c r="G33" s="13" t="inlineStr">
        <is>
          <t>ΣΥΝΟΛΑ:</t>
        </is>
      </c>
      <c r="K33" s="14">
        <f>SUM(K5:K32)</f>
        <v/>
      </c>
      <c r="L33" s="14">
        <f>SUM(L5:L32)</f>
        <v/>
      </c>
      <c r="M33" s="14">
        <f>SUM(M5:M32)</f>
        <v/>
      </c>
      <c r="N33" s="14">
        <f>SUM(N5:N32)</f>
        <v/>
      </c>
      <c r="O33" s="14">
        <f>SUM(O5:O32)</f>
        <v/>
      </c>
      <c r="P33" s="14">
        <f>SUM(P5:P32)</f>
        <v/>
      </c>
      <c r="Q33" s="14">
        <f>SUM(Q5:Q32)</f>
        <v/>
      </c>
      <c r="R33" s="14">
        <f>SUM(R5:R32)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1" workbookViewId="0">
      <selection activeCell="A1" sqref="A1"/>
    </sheetView>
  </sheetViews>
  <sheetFormatPr baseColWidth="8" defaultRowHeight="15"/>
  <cols>
    <col width="14" customWidth="1" style="24" min="1" max="1"/>
    <col width="14" customWidth="1" style="24" min="2" max="2"/>
    <col width="16" customWidth="1" style="24" min="3" max="3"/>
    <col width="28" customWidth="1" style="24" min="4" max="4"/>
    <col width="30" customWidth="1" style="24" min="5" max="5"/>
    <col width="16" customWidth="1" style="24" min="6" max="6"/>
    <col width="16" customWidth="1" style="24" min="7" max="7"/>
    <col width="16" customWidth="1" style="24" min="8" max="8"/>
    <col width="8" customWidth="1" style="24" min="9" max="9"/>
    <col width="18" customWidth="1" style="24" min="10" max="10"/>
    <col width="24" customWidth="1" style="24" min="11" max="11"/>
    <col width="22" customWidth="1" style="24" min="12" max="12"/>
    <col width="22" customWidth="1" style="24" min="13" max="13"/>
    <col width="20" customWidth="1" style="24" min="14" max="14"/>
    <col width="22" customWidth="1" style="24" min="15" max="15"/>
    <col width="22" customWidth="1" style="24" min="16" max="16"/>
    <col width="30" customWidth="1" style="24" min="17" max="17"/>
    <col width="24" customWidth="1" style="24" min="18" max="18"/>
    <col width="30" customWidth="1" style="24" min="19" max="19"/>
    <col width="20" customWidth="1" style="24" min="20" max="20"/>
    <col width="36" customWidth="1" style="24" min="21" max="21"/>
    <col width="32" customWidth="1" style="24" min="22" max="22"/>
    <col width="30" customWidth="1" style="24" min="23" max="23"/>
  </cols>
  <sheetData>
    <row r="1" ht="36" customHeight="1" s="24">
      <c r="A1" s="35" t="inlineStr">
        <is>
          <t>ERGO - ΤΡΟΠΟΣ ΠΛΗΡΩΜΗΣ, ΔΙΑΡΚΕΙΑ, ΠΟΣΟΣΤΑ ΠΡΟΜΗΘΕΙΩΝ &amp; ΤΕΧΝΙΚΕΣ ΚΑΛΥΨΕΙΣ ΑΝΑ ΣΥΜΒΟΛΑΙΟ</t>
        </is>
      </c>
    </row>
    <row r="2" ht="20" customHeight="1" s="24">
      <c r="A2" s="36" t="inlineStr">
        <is>
          <t>Αναλυτικός πίνακας ημερομηνιών, τρόπων πληρωμής, διάρκειας, ποσοστών προμηθειών (Συνεργάτη &amp; Agency) και ορίων καλύψεων ανά συμβόλαιο</t>
        </is>
      </c>
    </row>
    <row r="4" ht="28" customHeight="1" s="24">
      <c r="A4" s="37" t="inlineStr">
        <is>
          <t>Ημερομηνία</t>
        </is>
      </c>
      <c r="B4" s="37" t="inlineStr">
        <is>
          <t>Μήνας Εκκαθ.</t>
        </is>
      </c>
      <c r="C4" s="37" t="inlineStr">
        <is>
          <t>Αρ. Συμβολαίου</t>
        </is>
      </c>
      <c r="D4" s="37" t="inlineStr">
        <is>
          <t>Ονοματεπώνυμο Πελάτη</t>
        </is>
      </c>
      <c r="E4" s="37" t="inlineStr">
        <is>
          <t>Προϊόν ERGO</t>
        </is>
      </c>
      <c r="F4" s="37" t="inlineStr">
        <is>
          <t>Κλάδος</t>
        </is>
      </c>
      <c r="G4" s="37" t="inlineStr">
        <is>
          <t>Τρόπος Πληρωμής</t>
        </is>
      </c>
      <c r="H4" s="37" t="inlineStr">
        <is>
          <t>Διάρκεια</t>
        </is>
      </c>
      <c r="I4" s="37" t="inlineStr">
        <is>
          <t>Έτος</t>
        </is>
      </c>
      <c r="J4" s="37" t="inlineStr">
        <is>
          <t>Καθαρά (€)</t>
        </is>
      </c>
      <c r="K4" s="37" t="inlineStr">
        <is>
          <t>Προμήθεια Συνεργάτη (€)</t>
        </is>
      </c>
      <c r="L4" s="37" t="inlineStr">
        <is>
          <t>Ποσοστό Συνεργάτη (%)</t>
        </is>
      </c>
      <c r="M4" s="37" t="inlineStr">
        <is>
          <t>Override Agency (€)</t>
        </is>
      </c>
      <c r="N4" s="37" t="inlineStr">
        <is>
          <t>Ποσοστό Agency (%)</t>
        </is>
      </c>
      <c r="O4" s="37" t="inlineStr">
        <is>
          <t>Συνολική Αμοιβή (€)</t>
        </is>
      </c>
      <c r="P4" s="37" t="inlineStr">
        <is>
          <t>Συνολικό Ποσοστό (%)</t>
        </is>
      </c>
      <c r="Q4" s="37" t="inlineStr">
        <is>
          <t>Ανώτατο Όριο Κάλυψης</t>
        </is>
      </c>
      <c r="R4" s="37" t="inlineStr">
        <is>
          <t>Θέση Νοσηλείας</t>
        </is>
      </c>
      <c r="S4" s="37" t="inlineStr">
        <is>
          <t>Δίκτυο Νοσοκομείων</t>
        </is>
      </c>
      <c r="T4" s="37" t="inlineStr">
        <is>
          <t>Απαλλαγή</t>
        </is>
      </c>
      <c r="U4" s="37" t="inlineStr">
        <is>
          <t>Εξωνοσοκομειακά &amp; Επείγοντα</t>
        </is>
      </c>
      <c r="V4" s="37" t="inlineStr">
        <is>
          <t>Επιδόματα &amp; Assistance</t>
        </is>
      </c>
      <c r="W4" s="37" t="inlineStr">
        <is>
          <t>Riders &amp; Παροχές</t>
        </is>
      </c>
    </row>
    <row r="5" ht="22" customHeight="1" s="24">
      <c r="A5" s="38" t="inlineStr">
        <is>
          <t>29/01/2026</t>
        </is>
      </c>
      <c r="B5" s="38" t="inlineStr">
        <is>
          <t>02/2026</t>
        </is>
      </c>
      <c r="C5" s="38" t="inlineStr">
        <is>
          <t>2026000182</t>
        </is>
      </c>
      <c r="D5" s="39" t="inlineStr">
        <is>
          <t>ΠΑΠΑΔΑΚΗΣ ΦΑΙΔΩΝ</t>
        </is>
      </c>
      <c r="E5" s="39" t="inlineStr">
        <is>
          <t>ERGO Health Care Superior</t>
        </is>
      </c>
      <c r="F5" s="39" t="inlineStr">
        <is>
          <t>Υγεία</t>
        </is>
      </c>
      <c r="G5" s="38" t="inlineStr">
        <is>
          <t>Ετήσιο</t>
        </is>
      </c>
      <c r="H5" s="38" t="inlineStr">
        <is>
          <t>1 έτη</t>
        </is>
      </c>
      <c r="I5" s="38" t="n">
        <v>1</v>
      </c>
      <c r="J5" s="40" t="n">
        <v>896.3</v>
      </c>
      <c r="K5" s="40" t="n">
        <v>0</v>
      </c>
      <c r="L5" s="41">
        <f>K5/J5</f>
        <v/>
      </c>
      <c r="M5" s="40" t="n">
        <v>51.99</v>
      </c>
      <c r="N5" s="41">
        <f>M5/J5</f>
        <v/>
      </c>
      <c r="O5" s="40">
        <f>K5+M5</f>
        <v/>
      </c>
      <c r="P5" s="41">
        <f>O5/J5</f>
        <v/>
      </c>
      <c r="Q5" s="42" t="inlineStr">
        <is>
          <t>€500.000 / ασφαλιστικό έτος</t>
        </is>
      </c>
      <c r="R5" s="42" t="inlineStr">
        <is>
          <t>Α' Θέση (Μονόκλινο)</t>
        </is>
      </c>
      <c r="S5" s="42" t="inlineStr">
        <is>
          <t>100% Δίκτυο 4U &amp; Συμβεβλημένα</t>
        </is>
      </c>
      <c r="T5" s="42" t="inlineStr">
        <is>
          <t>€1.500 / €3.000</t>
        </is>
      </c>
      <c r="U5" s="42" t="inlineStr">
        <is>
          <t>Περιλαμβάνεται (€2.000) &amp; €1.000 Επείγοντα</t>
        </is>
      </c>
      <c r="V5" s="42" t="inlineStr">
        <is>
          <t>€150/ημέρα Νοσοκομειακό + Χειρουργικό</t>
        </is>
      </c>
      <c r="W5" s="42" t="inlineStr">
        <is>
          <t>ERGOLIFE Assistance 24/7</t>
        </is>
      </c>
    </row>
    <row r="6" ht="22" customHeight="1" s="24">
      <c r="A6" s="38" t="inlineStr">
        <is>
          <t>17/02/2026</t>
        </is>
      </c>
      <c r="B6" s="38" t="inlineStr">
        <is>
          <t>02/2026</t>
        </is>
      </c>
      <c r="C6" s="38" t="inlineStr">
        <is>
          <t>2021000340</t>
        </is>
      </c>
      <c r="D6" s="39" t="inlineStr">
        <is>
          <t>ΚΟΥΠΑΛΟΓΛΟΥ ΑΒΑΠΤΙΣΤΟ</t>
        </is>
      </c>
      <c r="E6" s="39" t="inlineStr">
        <is>
          <t>ERGO Life (Ισόβια) &amp; Riders</t>
        </is>
      </c>
      <c r="F6" s="39" t="inlineStr">
        <is>
          <t>Ζωή</t>
        </is>
      </c>
      <c r="G6" s="38" t="inlineStr">
        <is>
          <t>Ετήσιο</t>
        </is>
      </c>
      <c r="H6" s="38" t="inlineStr">
        <is>
          <t>1 έτη</t>
        </is>
      </c>
      <c r="I6" s="38" t="n">
        <v>6</v>
      </c>
      <c r="J6" s="40" t="n">
        <v>359.74</v>
      </c>
      <c r="K6" s="40" t="n">
        <v>89.94</v>
      </c>
      <c r="L6" s="41">
        <f>K6/J6</f>
        <v/>
      </c>
      <c r="M6" s="40" t="n">
        <v>0</v>
      </c>
      <c r="N6" s="41">
        <f>M6/J6</f>
        <v/>
      </c>
      <c r="O6" s="40">
        <f>K6+M6</f>
        <v/>
      </c>
      <c r="P6" s="41">
        <f>O6/J6</f>
        <v/>
      </c>
      <c r="Q6" s="42" t="inlineStr">
        <is>
          <t>Κεφάλαιο Ζωής €50.000</t>
        </is>
      </c>
      <c r="R6" s="42" t="inlineStr">
        <is>
          <t>N/A</t>
        </is>
      </c>
      <c r="S6" s="42" t="inlineStr">
        <is>
          <t>Ελεύθερη Επιλογή Ιατρών</t>
        </is>
      </c>
      <c r="T6" s="42" t="inlineStr">
        <is>
          <t>N/A</t>
        </is>
      </c>
      <c r="U6" s="42" t="inlineStr">
        <is>
          <t>Ιατροφαρμακευτικά Ατυχήματος</t>
        </is>
      </c>
      <c r="V6" s="42" t="inlineStr">
        <is>
          <t>Νοσοκομειακό Επίδομα Ατυχήματος</t>
        </is>
      </c>
      <c r="W6" s="42" t="inlineStr">
        <is>
          <t>Θάνατος / ΜΑ Ατυχήματος, ΑΠΑ</t>
        </is>
      </c>
    </row>
    <row r="7" ht="22" customHeight="1" s="24">
      <c r="A7" s="38" t="inlineStr">
        <is>
          <t>27/01/2026</t>
        </is>
      </c>
      <c r="B7" s="38" t="inlineStr">
        <is>
          <t>03/2026</t>
        </is>
      </c>
      <c r="C7" s="38" t="inlineStr">
        <is>
          <t>2026000161</t>
        </is>
      </c>
      <c r="D7" s="39" t="inlineStr">
        <is>
          <t>ΤΕΖΚΟΣΑΡ ΑΓΛΑΙΑ</t>
        </is>
      </c>
      <c r="E7" s="39" t="inlineStr">
        <is>
          <t>ERGO Health Care Advanced</t>
        </is>
      </c>
      <c r="F7" s="39" t="inlineStr">
        <is>
          <t>Υγεία</t>
        </is>
      </c>
      <c r="G7" s="38" t="inlineStr">
        <is>
          <t>Τρίμηνο</t>
        </is>
      </c>
      <c r="H7" s="38" t="inlineStr">
        <is>
          <t>1 έτη</t>
        </is>
      </c>
      <c r="I7" s="38" t="n">
        <v>1</v>
      </c>
      <c r="J7" s="40" t="n">
        <v>414.55</v>
      </c>
      <c r="K7" s="40" t="n">
        <v>116.18</v>
      </c>
      <c r="L7" s="41">
        <f>K7/J7</f>
        <v/>
      </c>
      <c r="M7" s="40" t="n">
        <v>23.24</v>
      </c>
      <c r="N7" s="41">
        <f>M7/J7</f>
        <v/>
      </c>
      <c r="O7" s="40">
        <f>K7+M7</f>
        <v/>
      </c>
      <c r="P7" s="41">
        <f>O7/J7</f>
        <v/>
      </c>
      <c r="Q7" s="42" t="inlineStr">
        <is>
          <t>€300.000 / περιστατικό</t>
        </is>
      </c>
      <c r="R7" s="42" t="inlineStr">
        <is>
          <t>Α' Θέση (Μονόκλινο)</t>
        </is>
      </c>
      <c r="S7" s="42" t="inlineStr">
        <is>
          <t>100% Δίκτυο 4U &amp; Αναγνωρισμένα</t>
        </is>
      </c>
      <c r="T7" s="42" t="inlineStr">
        <is>
          <t>€500 / €1.500</t>
        </is>
      </c>
      <c r="U7" s="42" t="inlineStr">
        <is>
          <t>€750 Επείγοντα + Διαγνωστικά Δικτύου</t>
        </is>
      </c>
      <c r="V7" s="42" t="inlineStr">
        <is>
          <t>€120/ημέρα Νοσοκομειακό</t>
        </is>
      </c>
      <c r="W7" s="42" t="inlineStr">
        <is>
          <t>ERGOLIFE Assistance 24/7, ΑΠΑ</t>
        </is>
      </c>
    </row>
    <row r="8" ht="22" customHeight="1" s="24">
      <c r="A8" s="38" t="inlineStr">
        <is>
          <t>14/02/2026</t>
        </is>
      </c>
      <c r="B8" s="38" t="inlineStr">
        <is>
          <t>03/2026</t>
        </is>
      </c>
      <c r="C8" s="38" t="inlineStr">
        <is>
          <t>2025000256</t>
        </is>
      </c>
      <c r="D8" s="39" t="inlineStr">
        <is>
          <t>ΒΑΒΑΤΣΙΚΟΣ ΔΗΜΗΤΡΙΟΣ</t>
        </is>
      </c>
      <c r="E8" s="39" t="inlineStr">
        <is>
          <t>ERGO Life &amp; Health Rider</t>
        </is>
      </c>
      <c r="F8" s="39" t="inlineStr">
        <is>
          <t>Ζωή &amp; Υγεία</t>
        </is>
      </c>
      <c r="G8" s="38" t="inlineStr">
        <is>
          <t>Ετήσιο</t>
        </is>
      </c>
      <c r="H8" s="38" t="inlineStr">
        <is>
          <t>1 έτη</t>
        </is>
      </c>
      <c r="I8" s="38" t="n">
        <v>2</v>
      </c>
      <c r="J8" s="40" t="n">
        <v>0</v>
      </c>
      <c r="K8" s="40" t="n">
        <v>0</v>
      </c>
      <c r="L8" s="41">
        <f>K8/J8</f>
        <v/>
      </c>
      <c r="M8" s="40" t="n">
        <v>0</v>
      </c>
      <c r="N8" s="41">
        <f>M8/J8</f>
        <v/>
      </c>
      <c r="O8" s="40">
        <f>K8+M8</f>
        <v/>
      </c>
      <c r="P8" s="41">
        <f>O8/J8</f>
        <v/>
      </c>
      <c r="Q8" s="42" t="inlineStr">
        <is>
          <t>Κεφάλαιο €100.000 / €300.000</t>
        </is>
      </c>
      <c r="R8" s="42" t="inlineStr">
        <is>
          <t>Β' Θέση (Δίκλινο)</t>
        </is>
      </c>
      <c r="S8" s="42" t="inlineStr">
        <is>
          <t>Δίκτυο 4U</t>
        </is>
      </c>
      <c r="T8" s="42" t="inlineStr">
        <is>
          <t>€1.500</t>
        </is>
      </c>
      <c r="U8" s="42" t="inlineStr">
        <is>
          <t>Επείγοντα €500</t>
        </is>
      </c>
      <c r="V8" s="42" t="inlineStr">
        <is>
          <t>€100/ημέρα</t>
        </is>
      </c>
      <c r="W8" s="42" t="inlineStr">
        <is>
          <t>Θάνατος Ατυχήματος, ΑΠΑ</t>
        </is>
      </c>
    </row>
    <row r="9" ht="22" customHeight="1" s="24">
      <c r="A9" s="38" t="inlineStr">
        <is>
          <t>24/02/2026</t>
        </is>
      </c>
      <c r="B9" s="38" t="inlineStr">
        <is>
          <t>03/2026</t>
        </is>
      </c>
      <c r="C9" s="38" t="inlineStr">
        <is>
          <t>2026000457</t>
        </is>
      </c>
      <c r="D9" s="39" t="inlineStr">
        <is>
          <t>ΜΟΥΛΑΚΑΚΗΣ ΓΡΗΓΟΡΙΟΣ</t>
        </is>
      </c>
      <c r="E9" s="39" t="inlineStr">
        <is>
          <t>ERGO Health Care Superior</t>
        </is>
      </c>
      <c r="F9" s="39" t="inlineStr">
        <is>
          <t>Υγεία</t>
        </is>
      </c>
      <c r="G9" s="38" t="inlineStr">
        <is>
          <t>Ετήσιο</t>
        </is>
      </c>
      <c r="H9" s="38" t="inlineStr">
        <is>
          <t>20 έτη</t>
        </is>
      </c>
      <c r="I9" s="38" t="n">
        <v>1</v>
      </c>
      <c r="J9" s="40" t="n">
        <v>874.16</v>
      </c>
      <c r="K9" s="40" t="n">
        <v>238.11</v>
      </c>
      <c r="L9" s="41">
        <f>K9/J9</f>
        <v/>
      </c>
      <c r="M9" s="40" t="n">
        <v>47.63</v>
      </c>
      <c r="N9" s="41">
        <f>M9/J9</f>
        <v/>
      </c>
      <c r="O9" s="40">
        <f>K9+M9</f>
        <v/>
      </c>
      <c r="P9" s="41">
        <f>O9/J9</f>
        <v/>
      </c>
      <c r="Q9" s="42" t="inlineStr">
        <is>
          <t>€500.000 / ασφαλιστικό έτος</t>
        </is>
      </c>
      <c r="R9" s="42" t="inlineStr">
        <is>
          <t>Α' Θέση (Μονόκλινο)</t>
        </is>
      </c>
      <c r="S9" s="42" t="inlineStr">
        <is>
          <t>100% Δίκτυο 4U &amp; Συμβεβλημένα</t>
        </is>
      </c>
      <c r="T9" s="42" t="inlineStr">
        <is>
          <t>€500 / €1.500</t>
        </is>
      </c>
      <c r="U9" s="42" t="inlineStr">
        <is>
          <t>Περιλαμβάνεται (€2.000) &amp; €1.000 Επείγοντα</t>
        </is>
      </c>
      <c r="V9" s="42" t="inlineStr">
        <is>
          <t>€150/ημέρα Νοσοκομειακό + Χειρουργικό</t>
        </is>
      </c>
      <c r="W9" s="42" t="inlineStr">
        <is>
          <t>ERGOLIFE Assistance 24/7</t>
        </is>
      </c>
    </row>
    <row r="10" ht="22" customHeight="1" s="24">
      <c r="A10" s="38" t="inlineStr">
        <is>
          <t>21/03/2026</t>
        </is>
      </c>
      <c r="B10" s="38" t="inlineStr">
        <is>
          <t>03/2026</t>
        </is>
      </c>
      <c r="C10" s="38" t="inlineStr">
        <is>
          <t>296632</t>
        </is>
      </c>
      <c r="D10" s="39" t="inlineStr">
        <is>
          <t>ΚΟΝΤΟΣ ΚΩΝΣΤΑΝΤΙΝΟΣ</t>
        </is>
      </c>
      <c r="E10" s="39" t="inlineStr">
        <is>
          <t>ERGO Life (Πρόσκαιρη Θανάτου)</t>
        </is>
      </c>
      <c r="F10" s="39" t="inlineStr">
        <is>
          <t>Ζωή</t>
        </is>
      </c>
      <c r="G10" s="38" t="inlineStr">
        <is>
          <t>Τρίμηνο</t>
        </is>
      </c>
      <c r="H10" s="38" t="inlineStr">
        <is>
          <t>Ισόβιο (99 έτη)</t>
        </is>
      </c>
      <c r="I10" s="38" t="n">
        <v>27</v>
      </c>
      <c r="J10" s="40" t="n">
        <v>216.11</v>
      </c>
      <c r="K10" s="40" t="n">
        <v>0</v>
      </c>
      <c r="L10" s="41">
        <f>K10/J10</f>
        <v/>
      </c>
      <c r="M10" s="40" t="n">
        <v>0</v>
      </c>
      <c r="N10" s="41">
        <f>M10/J10</f>
        <v/>
      </c>
      <c r="O10" s="40">
        <f>K10+M10</f>
        <v/>
      </c>
      <c r="P10" s="41">
        <f>O10/J10</f>
        <v/>
      </c>
      <c r="Q10" s="42" t="inlineStr">
        <is>
          <t>Κεφάλαιο Ζωής €30.000</t>
        </is>
      </c>
      <c r="R10" s="42" t="inlineStr">
        <is>
          <t>N/A</t>
        </is>
      </c>
      <c r="S10" s="42" t="inlineStr">
        <is>
          <t>N/A</t>
        </is>
      </c>
      <c r="T10" s="42" t="inlineStr">
        <is>
          <t>N/A</t>
        </is>
      </c>
      <c r="U10" s="42" t="inlineStr">
        <is>
          <t>N/A</t>
        </is>
      </c>
      <c r="V10" s="42" t="inlineStr">
        <is>
          <t>N/A</t>
        </is>
      </c>
      <c r="W10" s="42" t="inlineStr">
        <is>
          <t>Βασική Ασφάλιση Θανάτου</t>
        </is>
      </c>
    </row>
    <row r="11" ht="22" customHeight="1" s="24">
      <c r="A11" s="38" t="inlineStr">
        <is>
          <t>27/03/2026</t>
        </is>
      </c>
      <c r="B11" s="38" t="inlineStr">
        <is>
          <t>03/2026</t>
        </is>
      </c>
      <c r="C11" s="38" t="inlineStr">
        <is>
          <t>2022005568</t>
        </is>
      </c>
      <c r="D11" s="39" t="inlineStr">
        <is>
          <t>ΣΑΡΑΦΙΔΟΥ ΕΛΕΝΗ</t>
        </is>
      </c>
      <c r="E11" s="39" t="inlineStr">
        <is>
          <t>ERGO Life &amp; Riders</t>
        </is>
      </c>
      <c r="F11" s="39" t="inlineStr">
        <is>
          <t>Ζωή</t>
        </is>
      </c>
      <c r="G11" s="38" t="inlineStr">
        <is>
          <t>Εξάμηνο</t>
        </is>
      </c>
      <c r="H11" s="38" t="inlineStr">
        <is>
          <t>25 έτη</t>
        </is>
      </c>
      <c r="I11" s="38" t="n">
        <v>4</v>
      </c>
      <c r="J11" s="40" t="n">
        <v>72.89</v>
      </c>
      <c r="K11" s="40" t="n">
        <v>6.18</v>
      </c>
      <c r="L11" s="41">
        <f>K11/J11</f>
        <v/>
      </c>
      <c r="M11" s="40" t="n">
        <v>0</v>
      </c>
      <c r="N11" s="41">
        <f>M11/J11</f>
        <v/>
      </c>
      <c r="O11" s="40">
        <f>K11+M11</f>
        <v/>
      </c>
      <c r="P11" s="41">
        <f>O11/J11</f>
        <v/>
      </c>
      <c r="Q11" s="42" t="inlineStr">
        <is>
          <t>Κεφάλαιο Ζωής €40.000</t>
        </is>
      </c>
      <c r="R11" s="42" t="inlineStr">
        <is>
          <t>N/A</t>
        </is>
      </c>
      <c r="S11" s="42" t="inlineStr">
        <is>
          <t>N/A</t>
        </is>
      </c>
      <c r="T11" s="42" t="inlineStr">
        <is>
          <t>N/A</t>
        </is>
      </c>
      <c r="U11" s="42" t="inlineStr">
        <is>
          <t>Ιατροφαρμακευτικά Ατυχήματος</t>
        </is>
      </c>
      <c r="V11" s="42" t="inlineStr">
        <is>
          <t>Νοσοκομειακό Επίδομα</t>
        </is>
      </c>
      <c r="W11" s="42" t="inlineStr">
        <is>
          <t>Θάνατος Ατυχήματος, ΜΑ, ΑΠΑ</t>
        </is>
      </c>
    </row>
    <row r="12" ht="22" customHeight="1" s="24">
      <c r="A12" s="38" t="inlineStr">
        <is>
          <t>27/03/2026</t>
        </is>
      </c>
      <c r="B12" s="38" t="inlineStr">
        <is>
          <t>03/2026</t>
        </is>
      </c>
      <c r="C12" s="38" t="inlineStr">
        <is>
          <t>2025001066</t>
        </is>
      </c>
      <c r="D12" s="39" t="inlineStr">
        <is>
          <t>ΚΑΤΣΙΓΙΑΝΝΑΚΗ ΚΑΛΛΙΟΠΗ</t>
        </is>
      </c>
      <c r="E12" s="39" t="inlineStr">
        <is>
          <t>ERGO Health Care Simple</t>
        </is>
      </c>
      <c r="F12" s="39" t="inlineStr">
        <is>
          <t>Υγεία</t>
        </is>
      </c>
      <c r="G12" s="38" t="inlineStr">
        <is>
          <t>Τρίμηνο</t>
        </is>
      </c>
      <c r="H12" s="38" t="inlineStr">
        <is>
          <t>15 έτη</t>
        </is>
      </c>
      <c r="I12" s="38" t="n">
        <v>1</v>
      </c>
      <c r="J12" s="40" t="n">
        <v>145.63</v>
      </c>
      <c r="K12" s="40" t="n">
        <v>0</v>
      </c>
      <c r="L12" s="41">
        <f>K12/J12</f>
        <v/>
      </c>
      <c r="M12" s="40" t="n">
        <v>3.56</v>
      </c>
      <c r="N12" s="41">
        <f>M12/J12</f>
        <v/>
      </c>
      <c r="O12" s="40">
        <f>K12+M12</f>
        <v/>
      </c>
      <c r="P12" s="41">
        <f>O12/J12</f>
        <v/>
      </c>
      <c r="Q12" s="42" t="inlineStr">
        <is>
          <t>€300.000 / περιστατικό</t>
        </is>
      </c>
      <c r="R12" s="42" t="inlineStr">
        <is>
          <t>Β' Θέση (Δίκλινο)</t>
        </is>
      </c>
      <c r="S12" s="42" t="inlineStr">
        <is>
          <t>100% Δίκτυο 4U</t>
        </is>
      </c>
      <c r="T12" s="42" t="inlineStr">
        <is>
          <t>€1.500</t>
        </is>
      </c>
      <c r="U12" s="42" t="inlineStr">
        <is>
          <t>€500 Επείγοντα Περιστατικά</t>
        </is>
      </c>
      <c r="V12" s="42" t="inlineStr">
        <is>
          <t>€100/ημέρα Νοσοκομειακό</t>
        </is>
      </c>
      <c r="W12" s="42" t="inlineStr">
        <is>
          <t>ERGOLIFE Assistance 24/7</t>
        </is>
      </c>
    </row>
    <row r="13" ht="22" customHeight="1" s="24">
      <c r="A13" s="38" t="inlineStr">
        <is>
          <t>30/03/2026</t>
        </is>
      </c>
      <c r="B13" s="38" t="inlineStr">
        <is>
          <t>03/2026</t>
        </is>
      </c>
      <c r="C13" s="38" t="inlineStr">
        <is>
          <t>2025001836</t>
        </is>
      </c>
      <c r="D13" s="39" t="inlineStr">
        <is>
          <t>ΣΤΕΡΓΙΟΥ ΑΒΑΠΤΙΣΤΟ</t>
        </is>
      </c>
      <c r="E13" s="39" t="inlineStr">
        <is>
          <t>ERGO Health Care Advanced</t>
        </is>
      </c>
      <c r="F13" s="39" t="inlineStr">
        <is>
          <t>Υγεία</t>
        </is>
      </c>
      <c r="G13" s="38" t="inlineStr">
        <is>
          <t>Τρίμηνο</t>
        </is>
      </c>
      <c r="H13" s="38" t="inlineStr">
        <is>
          <t>1 έτη</t>
        </is>
      </c>
      <c r="I13" s="38" t="n">
        <v>1</v>
      </c>
      <c r="J13" s="40" t="n">
        <v>174.8</v>
      </c>
      <c r="K13" s="40" t="n">
        <v>0</v>
      </c>
      <c r="L13" s="41">
        <f>K13/J13</f>
        <v/>
      </c>
      <c r="M13" s="40" t="n">
        <v>9.84</v>
      </c>
      <c r="N13" s="41">
        <f>M13/J13</f>
        <v/>
      </c>
      <c r="O13" s="40">
        <f>K13+M13</f>
        <v/>
      </c>
      <c r="P13" s="41">
        <f>O13/J13</f>
        <v/>
      </c>
      <c r="Q13" s="42" t="inlineStr">
        <is>
          <t>€300.000 / περιστατικό</t>
        </is>
      </c>
      <c r="R13" s="42" t="inlineStr">
        <is>
          <t>Α' Θέση (Μονόκλινο)</t>
        </is>
      </c>
      <c r="S13" s="42" t="inlineStr">
        <is>
          <t>100% Δίκτυο 4U &amp; Συμβεβλημένα</t>
        </is>
      </c>
      <c r="T13" s="42" t="inlineStr">
        <is>
          <t>€500</t>
        </is>
      </c>
      <c r="U13" s="42" t="inlineStr">
        <is>
          <t>€750 Επείγοντα Περιστατικά</t>
        </is>
      </c>
      <c r="V13" s="42" t="inlineStr">
        <is>
          <t>€120/ημέρα Νοσοκομειακό</t>
        </is>
      </c>
      <c r="W13" s="42" t="inlineStr">
        <is>
          <t>ERGOLIFE Assistance 24/7</t>
        </is>
      </c>
    </row>
    <row r="14" ht="22" customHeight="1" s="24">
      <c r="A14" s="38" t="inlineStr">
        <is>
          <t>02/02/2026</t>
        </is>
      </c>
      <c r="B14" s="38" t="inlineStr">
        <is>
          <t>04/2026</t>
        </is>
      </c>
      <c r="C14" s="38" t="inlineStr">
        <is>
          <t>2026000210</t>
        </is>
      </c>
      <c r="D14" s="39" t="inlineStr">
        <is>
          <t>ΜΟΥΛΑΚΑΚΗΣ ΓΡΗΓΟΡΙΟΣ</t>
        </is>
      </c>
      <c r="E14" s="39" t="inlineStr">
        <is>
          <t>ERGO Health Care Superior</t>
        </is>
      </c>
      <c r="F14" s="39" t="inlineStr">
        <is>
          <t>Υγεία</t>
        </is>
      </c>
      <c r="G14" s="38" t="inlineStr">
        <is>
          <t>Ετήσιο</t>
        </is>
      </c>
      <c r="H14" s="38" t="inlineStr">
        <is>
          <t>20 έτη</t>
        </is>
      </c>
      <c r="I14" s="38" t="n">
        <v>1</v>
      </c>
      <c r="J14" s="40" t="n">
        <v>0</v>
      </c>
      <c r="K14" s="40" t="n">
        <v>0</v>
      </c>
      <c r="L14" s="41">
        <f>K14/J14</f>
        <v/>
      </c>
      <c r="M14" s="40" t="n">
        <v>0</v>
      </c>
      <c r="N14" s="41">
        <f>M14/J14</f>
        <v/>
      </c>
      <c r="O14" s="40">
        <f>K14+M14</f>
        <v/>
      </c>
      <c r="P14" s="41">
        <f>O14/J14</f>
        <v/>
      </c>
      <c r="Q14" s="42" t="inlineStr">
        <is>
          <t>€500.000 / ασφαλιστικό έτος</t>
        </is>
      </c>
      <c r="R14" s="42" t="inlineStr">
        <is>
          <t>Α' Θέση (Μονόκλινο)</t>
        </is>
      </c>
      <c r="S14" s="42" t="inlineStr">
        <is>
          <t>100% Δίκτυο 4U</t>
        </is>
      </c>
      <c r="T14" s="42" t="inlineStr">
        <is>
          <t>€1.500</t>
        </is>
      </c>
      <c r="U14" s="42" t="inlineStr">
        <is>
          <t>€1.000 Επείγοντα + Διαγνωστικά</t>
        </is>
      </c>
      <c r="V14" s="42" t="inlineStr">
        <is>
          <t>€150/ημέρα</t>
        </is>
      </c>
      <c r="W14" s="42" t="inlineStr">
        <is>
          <t>ERGOLIFE Assistance 24/7</t>
        </is>
      </c>
    </row>
    <row r="15" ht="22" customHeight="1" s="24">
      <c r="A15" s="38" t="inlineStr">
        <is>
          <t>08/04/2026</t>
        </is>
      </c>
      <c r="B15" s="38" t="inlineStr">
        <is>
          <t>04/2026</t>
        </is>
      </c>
      <c r="C15" s="38" t="inlineStr">
        <is>
          <t>2026000765</t>
        </is>
      </c>
      <c r="D15" s="39" t="inlineStr">
        <is>
          <t>ΠΑΛΙΑΤΣΑΣ ΑΘΑΝΑΣΙΟΣ</t>
        </is>
      </c>
      <c r="E15" s="39" t="inlineStr">
        <is>
          <t>ERGO Health Care Superior</t>
        </is>
      </c>
      <c r="F15" s="39" t="inlineStr">
        <is>
          <t>Υγεία</t>
        </is>
      </c>
      <c r="G15" s="38" t="inlineStr">
        <is>
          <t>Ετήσιο</t>
        </is>
      </c>
      <c r="H15" s="38" t="inlineStr">
        <is>
          <t>1 έτη</t>
        </is>
      </c>
      <c r="I15" s="38" t="n">
        <v>1</v>
      </c>
      <c r="J15" s="40" t="n">
        <v>666.12</v>
      </c>
      <c r="K15" s="40" t="n">
        <v>193.17</v>
      </c>
      <c r="L15" s="41">
        <f>K15/J15</f>
        <v/>
      </c>
      <c r="M15" s="40" t="n">
        <v>38.63</v>
      </c>
      <c r="N15" s="41">
        <f>M15/J15</f>
        <v/>
      </c>
      <c r="O15" s="40">
        <f>K15+M15</f>
        <v/>
      </c>
      <c r="P15" s="41">
        <f>O15/J15</f>
        <v/>
      </c>
      <c r="Q15" s="42" t="inlineStr">
        <is>
          <t>€500.000 / ασφαλιστικό έτος</t>
        </is>
      </c>
      <c r="R15" s="42" t="inlineStr">
        <is>
          <t>Α' Θέση (Μονόκλινο)</t>
        </is>
      </c>
      <c r="S15" s="42" t="inlineStr">
        <is>
          <t>100% Δίκτυο 4U &amp; Αναγνωρισμένα</t>
        </is>
      </c>
      <c r="T15" s="42" t="inlineStr">
        <is>
          <t>€500 / €1.500</t>
        </is>
      </c>
      <c r="U15" s="42" t="inlineStr">
        <is>
          <t>Περιλαμβάνεται (€2.000) &amp; €1.000 Επείγοντα</t>
        </is>
      </c>
      <c r="V15" s="42" t="inlineStr">
        <is>
          <t>€150/ημέρα Νοσοκομειακό + Χειρουργικό</t>
        </is>
      </c>
      <c r="W15" s="42" t="inlineStr">
        <is>
          <t>ERGOLIFE Assistance 24/7, ΑΠΑ</t>
        </is>
      </c>
    </row>
    <row r="16" ht="22" customHeight="1" s="24">
      <c r="A16" s="38" t="inlineStr">
        <is>
          <t>27/04/2026</t>
        </is>
      </c>
      <c r="B16" s="38" t="inlineStr">
        <is>
          <t>04/2026</t>
        </is>
      </c>
      <c r="C16" s="38" t="inlineStr">
        <is>
          <t>2026000161</t>
        </is>
      </c>
      <c r="D16" s="39" t="inlineStr">
        <is>
          <t>ΤΕΖΚΟΣΑΡ ΑΓΛΑΙΑ</t>
        </is>
      </c>
      <c r="E16" s="39" t="inlineStr">
        <is>
          <t>ERGO Health Care Advanced</t>
        </is>
      </c>
      <c r="F16" s="39" t="inlineStr">
        <is>
          <t>Υγεία</t>
        </is>
      </c>
      <c r="G16" s="38" t="inlineStr">
        <is>
          <t>Τρίμηνο</t>
        </is>
      </c>
      <c r="H16" s="38" t="inlineStr">
        <is>
          <t>1 έτη</t>
        </is>
      </c>
      <c r="I16" s="38" t="n">
        <v>1</v>
      </c>
      <c r="J16" s="40" t="n">
        <v>414.55</v>
      </c>
      <c r="K16" s="40" t="n">
        <v>116.18</v>
      </c>
      <c r="L16" s="41">
        <f>K16/J16</f>
        <v/>
      </c>
      <c r="M16" s="40" t="n">
        <v>23.24</v>
      </c>
      <c r="N16" s="41">
        <f>M16/J16</f>
        <v/>
      </c>
      <c r="O16" s="40">
        <f>K16+M16</f>
        <v/>
      </c>
      <c r="P16" s="41">
        <f>O16/J16</f>
        <v/>
      </c>
      <c r="Q16" s="42" t="inlineStr">
        <is>
          <t>€300.000 / περιστατικό</t>
        </is>
      </c>
      <c r="R16" s="42" t="inlineStr">
        <is>
          <t>Α' Θέση (Μονόκλινο)</t>
        </is>
      </c>
      <c r="S16" s="42" t="inlineStr">
        <is>
          <t>100% Δίκτυο 4U &amp; Αναγνωρισμένα</t>
        </is>
      </c>
      <c r="T16" s="42" t="inlineStr">
        <is>
          <t>€500 / €1.500</t>
        </is>
      </c>
      <c r="U16" s="42" t="inlineStr">
        <is>
          <t>€750 Επείγοντα + Διαγνωστικά Δικτύου</t>
        </is>
      </c>
      <c r="V16" s="42" t="inlineStr">
        <is>
          <t>€120/ημέρα Νοσοκομειακό</t>
        </is>
      </c>
      <c r="W16" s="42" t="inlineStr">
        <is>
          <t>ERGOLIFE Assistance 24/7, ΑΠΑ</t>
        </is>
      </c>
    </row>
    <row r="17" ht="22" customHeight="1" s="24">
      <c r="A17" s="38" t="inlineStr">
        <is>
          <t>05/04/2026</t>
        </is>
      </c>
      <c r="B17" s="38" t="inlineStr">
        <is>
          <t>05/2026</t>
        </is>
      </c>
      <c r="C17" s="38" t="inlineStr">
        <is>
          <t>2023001613</t>
        </is>
      </c>
      <c r="D17" s="39" t="inlineStr">
        <is>
          <t>ΤΑΡΑΝΗΣ ΙΓΝΑΤΙΟΣ</t>
        </is>
      </c>
      <c r="E17" s="39" t="inlineStr">
        <is>
          <t>ERGO Health Care Advanced</t>
        </is>
      </c>
      <c r="F17" s="39" t="inlineStr">
        <is>
          <t>Υγεία</t>
        </is>
      </c>
      <c r="G17" s="38" t="inlineStr">
        <is>
          <t>Ετήσιο</t>
        </is>
      </c>
      <c r="H17" s="38" t="inlineStr">
        <is>
          <t>1 έτη</t>
        </is>
      </c>
      <c r="I17" s="38" t="n">
        <v>4</v>
      </c>
      <c r="J17" s="40" t="n">
        <v>202.37</v>
      </c>
      <c r="K17" s="40" t="n">
        <v>50.59</v>
      </c>
      <c r="L17" s="41">
        <f>K17/J17</f>
        <v/>
      </c>
      <c r="M17" s="40" t="n">
        <v>10.12</v>
      </c>
      <c r="N17" s="41">
        <f>M17/J17</f>
        <v/>
      </c>
      <c r="O17" s="40">
        <f>K17+M17</f>
        <v/>
      </c>
      <c r="P17" s="41">
        <f>O17/J17</f>
        <v/>
      </c>
      <c r="Q17" s="42" t="inlineStr">
        <is>
          <t>€300.000 / περιστατικό</t>
        </is>
      </c>
      <c r="R17" s="42" t="inlineStr">
        <is>
          <t>Α' Θέση (Μονόκλινο)</t>
        </is>
      </c>
      <c r="S17" s="42" t="inlineStr">
        <is>
          <t>100% Δίκτυο 4U</t>
        </is>
      </c>
      <c r="T17" s="42" t="inlineStr">
        <is>
          <t>€1.500</t>
        </is>
      </c>
      <c r="U17" s="42" t="inlineStr">
        <is>
          <t>€750 Επείγοντα</t>
        </is>
      </c>
      <c r="V17" s="42" t="inlineStr">
        <is>
          <t>€120/ημέρα</t>
        </is>
      </c>
      <c r="W17" s="42" t="inlineStr">
        <is>
          <t>ERGOLIFE Assistance 24/7</t>
        </is>
      </c>
    </row>
    <row r="18" ht="22" customHeight="1" s="24">
      <c r="A18" s="38" t="inlineStr">
        <is>
          <t>21/06/2026</t>
        </is>
      </c>
      <c r="B18" s="38" t="inlineStr">
        <is>
          <t>06/2026</t>
        </is>
      </c>
      <c r="C18" s="38" t="inlineStr">
        <is>
          <t>296632</t>
        </is>
      </c>
      <c r="D18" s="39" t="inlineStr">
        <is>
          <t>ΚΟΝΤΟΣ ΚΩΝΣΤΑΝΤΙΝΟΣ</t>
        </is>
      </c>
      <c r="E18" s="39" t="inlineStr">
        <is>
          <t>ERGO Life (Πρόσκαιρη Θανάτου)</t>
        </is>
      </c>
      <c r="F18" s="39" t="inlineStr">
        <is>
          <t>Ζωή</t>
        </is>
      </c>
      <c r="G18" s="38" t="inlineStr">
        <is>
          <t>Τρίμηνο</t>
        </is>
      </c>
      <c r="H18" s="38" t="inlineStr">
        <is>
          <t>Ισόβιο (99 έτη)</t>
        </is>
      </c>
      <c r="I18" s="38" t="n">
        <v>28</v>
      </c>
      <c r="J18" s="40" t="n">
        <v>238.94</v>
      </c>
      <c r="K18" s="40" t="n">
        <v>0</v>
      </c>
      <c r="L18" s="41">
        <f>K18/J18</f>
        <v/>
      </c>
      <c r="M18" s="40" t="n">
        <v>0</v>
      </c>
      <c r="N18" s="41">
        <f>M18/J18</f>
        <v/>
      </c>
      <c r="O18" s="40">
        <f>K18+M18</f>
        <v/>
      </c>
      <c r="P18" s="41">
        <f>O18/J18</f>
        <v/>
      </c>
      <c r="Q18" s="42" t="inlineStr">
        <is>
          <t>Κεφάλαιο Ζωής €30.000</t>
        </is>
      </c>
      <c r="R18" s="42" t="inlineStr">
        <is>
          <t>N/A</t>
        </is>
      </c>
      <c r="S18" s="42" t="inlineStr">
        <is>
          <t>N/A</t>
        </is>
      </c>
      <c r="T18" s="42" t="inlineStr">
        <is>
          <t>N/A</t>
        </is>
      </c>
      <c r="U18" s="42" t="inlineStr">
        <is>
          <t>N/A</t>
        </is>
      </c>
      <c r="V18" s="42" t="inlineStr">
        <is>
          <t>N/A</t>
        </is>
      </c>
      <c r="W18" s="42" t="inlineStr">
        <is>
          <t>Βασική Ασφάλιση Θανάτου</t>
        </is>
      </c>
    </row>
    <row r="19" ht="22" customHeight="1" s="24">
      <c r="A19" s="38" t="inlineStr">
        <is>
          <t>30/06/2026</t>
        </is>
      </c>
      <c r="B19" s="38" t="inlineStr">
        <is>
          <t>06/2026</t>
        </is>
      </c>
      <c r="C19" s="38" t="inlineStr">
        <is>
          <t>2025001836</t>
        </is>
      </c>
      <c r="D19" s="39" t="inlineStr">
        <is>
          <t>ΣΤΕΡΓΙΟΥ ΑΒΑΠΤΙΣΤΟ</t>
        </is>
      </c>
      <c r="E19" s="39" t="inlineStr">
        <is>
          <t>ERGO Health Care Advanced</t>
        </is>
      </c>
      <c r="F19" s="39" t="inlineStr">
        <is>
          <t>Υγεία</t>
        </is>
      </c>
      <c r="G19" s="38" t="inlineStr">
        <is>
          <t>Τρίμηνο</t>
        </is>
      </c>
      <c r="H19" s="38" t="inlineStr">
        <is>
          <t>1 έτη</t>
        </is>
      </c>
      <c r="I19" s="38" t="n">
        <v>1</v>
      </c>
      <c r="J19" s="40" t="n">
        <v>174.8</v>
      </c>
      <c r="K19" s="40" t="n">
        <v>0</v>
      </c>
      <c r="L19" s="41">
        <f>K19/J19</f>
        <v/>
      </c>
      <c r="M19" s="40" t="n">
        <v>9.84</v>
      </c>
      <c r="N19" s="41">
        <f>M19/J19</f>
        <v/>
      </c>
      <c r="O19" s="40">
        <f>K19+M19</f>
        <v/>
      </c>
      <c r="P19" s="41">
        <f>O19/J19</f>
        <v/>
      </c>
      <c r="Q19" s="42" t="inlineStr">
        <is>
          <t>€300.000 / περιστατικό</t>
        </is>
      </c>
      <c r="R19" s="42" t="inlineStr">
        <is>
          <t>Α' Θέση (Μονόκλινο)</t>
        </is>
      </c>
      <c r="S19" s="42" t="inlineStr">
        <is>
          <t>100% Δίκτυο 4U &amp; Συμβεβλημένα</t>
        </is>
      </c>
      <c r="T19" s="42" t="inlineStr">
        <is>
          <t>€500</t>
        </is>
      </c>
      <c r="U19" s="42" t="inlineStr">
        <is>
          <t>€750 Επείγοντα Περιστατικά</t>
        </is>
      </c>
      <c r="V19" s="42" t="inlineStr">
        <is>
          <t>€120/ημέρα Νοσοκομειακό</t>
        </is>
      </c>
      <c r="W19" s="42" t="inlineStr">
        <is>
          <t>ERGOLIFE Assistance 24/7</t>
        </is>
      </c>
    </row>
    <row r="20" ht="22" customHeight="1" s="24">
      <c r="A20" s="38" t="inlineStr">
        <is>
          <t>27/06/2026</t>
        </is>
      </c>
      <c r="B20" s="38" t="inlineStr">
        <is>
          <t>07/2026</t>
        </is>
      </c>
      <c r="C20" s="38" t="inlineStr">
        <is>
          <t>2025001066</t>
        </is>
      </c>
      <c r="D20" s="39" t="inlineStr">
        <is>
          <t>ΚΑΤΣΙΓΙΑΝΝΑΚΗ ΚΑΛΛΙΟΠΗ</t>
        </is>
      </c>
      <c r="E20" s="39" t="inlineStr">
        <is>
          <t>ERGO Health Care Simple</t>
        </is>
      </c>
      <c r="F20" s="39" t="inlineStr">
        <is>
          <t>Υγεία</t>
        </is>
      </c>
      <c r="G20" s="38" t="inlineStr">
        <is>
          <t>Τρίμηνο</t>
        </is>
      </c>
      <c r="H20" s="38" t="inlineStr">
        <is>
          <t>15 έτη</t>
        </is>
      </c>
      <c r="I20" s="38" t="n">
        <v>2</v>
      </c>
      <c r="J20" s="40" t="n">
        <v>145.63</v>
      </c>
      <c r="K20" s="40" t="n">
        <v>0</v>
      </c>
      <c r="L20" s="41">
        <f>K20/J20</f>
        <v/>
      </c>
      <c r="M20" s="40" t="n">
        <v>2.88</v>
      </c>
      <c r="N20" s="41">
        <f>M20/J20</f>
        <v/>
      </c>
      <c r="O20" s="40">
        <f>K20+M20</f>
        <v/>
      </c>
      <c r="P20" s="41">
        <f>O20/J20</f>
        <v/>
      </c>
      <c r="Q20" s="42" t="inlineStr">
        <is>
          <t>€300.000 / περιστατικό</t>
        </is>
      </c>
      <c r="R20" s="42" t="inlineStr">
        <is>
          <t>Β' Θέση (Δίκλινο)</t>
        </is>
      </c>
      <c r="S20" s="42" t="inlineStr">
        <is>
          <t>100% Δίκτυο 4U</t>
        </is>
      </c>
      <c r="T20" s="42" t="inlineStr">
        <is>
          <t>€1.500</t>
        </is>
      </c>
      <c r="U20" s="42" t="inlineStr">
        <is>
          <t>€500 Επείγοντα Περιστατικά</t>
        </is>
      </c>
      <c r="V20" s="42" t="inlineStr">
        <is>
          <t>€100/ημέρα Νοσοκομειακό</t>
        </is>
      </c>
      <c r="W20" s="42" t="inlineStr">
        <is>
          <t>ERGOLIFE Assistance 24/7</t>
        </is>
      </c>
    </row>
    <row r="21" ht="22" customHeight="1" s="24">
      <c r="A21" s="38" t="inlineStr">
        <is>
          <t>13/07/2026</t>
        </is>
      </c>
      <c r="B21" s="38" t="inlineStr">
        <is>
          <t>07/2026</t>
        </is>
      </c>
      <c r="C21" s="38" t="inlineStr">
        <is>
          <t>2025000058</t>
        </is>
      </c>
      <c r="D21" s="39" t="inlineStr">
        <is>
          <t>ΤΣΑΠΡΑΛΗΣ ΚΩΝΣΤΑΝΤΙΝΟΣ</t>
        </is>
      </c>
      <c r="E21" s="39" t="inlineStr">
        <is>
          <t>ERGO Health Care Simple</t>
        </is>
      </c>
      <c r="F21" s="39" t="inlineStr">
        <is>
          <t>Υγεία</t>
        </is>
      </c>
      <c r="G21" s="38" t="inlineStr">
        <is>
          <t>Εξάμηνο</t>
        </is>
      </c>
      <c r="H21" s="38" t="inlineStr">
        <is>
          <t>1 έτη</t>
        </is>
      </c>
      <c r="I21" s="38" t="n">
        <v>2</v>
      </c>
      <c r="J21" s="40" t="n">
        <v>322.09</v>
      </c>
      <c r="K21" s="40" t="n">
        <v>0</v>
      </c>
      <c r="L21" s="41">
        <f>K21/J21</f>
        <v/>
      </c>
      <c r="M21" s="40" t="n">
        <v>15.79</v>
      </c>
      <c r="N21" s="41">
        <f>M21/J21</f>
        <v/>
      </c>
      <c r="O21" s="40">
        <f>K21+M21</f>
        <v/>
      </c>
      <c r="P21" s="41">
        <f>O21/J21</f>
        <v/>
      </c>
      <c r="Q21" s="42" t="inlineStr">
        <is>
          <t>€300.000 / περιστατικό</t>
        </is>
      </c>
      <c r="R21" s="42" t="inlineStr">
        <is>
          <t>Β' Θέση (Δίκλινο)</t>
        </is>
      </c>
      <c r="S21" s="42" t="inlineStr">
        <is>
          <t>Δίκτυο 4U</t>
        </is>
      </c>
      <c r="T21" s="42" t="inlineStr">
        <is>
          <t>€1.500</t>
        </is>
      </c>
      <c r="U21" s="42" t="inlineStr">
        <is>
          <t>€500 Επείγοντα</t>
        </is>
      </c>
      <c r="V21" s="42" t="inlineStr">
        <is>
          <t>€100/ημέρα</t>
        </is>
      </c>
      <c r="W21" s="42" t="inlineStr">
        <is>
          <t>ERGOLIFE Assistance 24/7</t>
        </is>
      </c>
    </row>
    <row r="22" ht="22" customHeight="1" s="24">
      <c r="A22" s="38" t="inlineStr">
        <is>
          <t>27/07/2026</t>
        </is>
      </c>
      <c r="B22" s="38" t="inlineStr">
        <is>
          <t>07/2026</t>
        </is>
      </c>
      <c r="C22" s="38" t="inlineStr">
        <is>
          <t>2026000161</t>
        </is>
      </c>
      <c r="D22" s="39" t="inlineStr">
        <is>
          <t>ΤΕΖΚΟΣΑΡ ΑΓΛΑΙΑ</t>
        </is>
      </c>
      <c r="E22" s="39" t="inlineStr">
        <is>
          <t>ERGO Health Care Advanced</t>
        </is>
      </c>
      <c r="F22" s="39" t="inlineStr">
        <is>
          <t>Υγεία</t>
        </is>
      </c>
      <c r="G22" s="38" t="inlineStr">
        <is>
          <t>Τρίμηνο</t>
        </is>
      </c>
      <c r="H22" s="38" t="inlineStr">
        <is>
          <t>1 έτη</t>
        </is>
      </c>
      <c r="I22" s="38" t="n">
        <v>1</v>
      </c>
      <c r="J22" s="40" t="n">
        <v>414.55</v>
      </c>
      <c r="K22" s="40" t="n">
        <v>116.18</v>
      </c>
      <c r="L22" s="41">
        <f>K22/J22</f>
        <v/>
      </c>
      <c r="M22" s="40" t="n">
        <v>23.24</v>
      </c>
      <c r="N22" s="41">
        <f>M22/J22</f>
        <v/>
      </c>
      <c r="O22" s="40">
        <f>K22+M22</f>
        <v/>
      </c>
      <c r="P22" s="41">
        <f>O22/J22</f>
        <v/>
      </c>
      <c r="Q22" s="42" t="inlineStr">
        <is>
          <t>€300.000 / περιστατικό</t>
        </is>
      </c>
      <c r="R22" s="42" t="inlineStr">
        <is>
          <t>Α' Θέση (Μονόκλινο)</t>
        </is>
      </c>
      <c r="S22" s="42" t="inlineStr">
        <is>
          <t>100% Δίκτυο 4U &amp; Αναγνωρισμένα</t>
        </is>
      </c>
      <c r="T22" s="42" t="inlineStr">
        <is>
          <t>€500 / €1.500</t>
        </is>
      </c>
      <c r="U22" s="42" t="inlineStr">
        <is>
          <t>€750 Επείγοντα + Διαγνωστικά Δικτύου</t>
        </is>
      </c>
      <c r="V22" s="42" t="inlineStr">
        <is>
          <t>€120/ημέρα Νοσοκομειακό</t>
        </is>
      </c>
      <c r="W22" s="42" t="inlineStr">
        <is>
          <t>ERGOLIFE Assistance 24/7, ΑΠΑ</t>
        </is>
      </c>
    </row>
    <row r="23" ht="24" customHeight="1" s="24">
      <c r="F23" s="43" t="inlineStr">
        <is>
          <t>ΣΥΝΟΛΑ:</t>
        </is>
      </c>
      <c r="J23" s="44">
        <f>SUM(J5:J22)</f>
        <v/>
      </c>
      <c r="K23" s="44">
        <f>SUM(K5:K22)</f>
        <v/>
      </c>
      <c r="L23" s="45">
        <f>K23/J23</f>
        <v/>
      </c>
      <c r="M23" s="44">
        <f>SUM(M5:M22)</f>
        <v/>
      </c>
      <c r="N23" s="45">
        <f>M23/J23</f>
        <v/>
      </c>
      <c r="O23" s="44">
        <f>SUM(O5:O22)</f>
        <v/>
      </c>
      <c r="P23" s="45">
        <f>O23/J23</f>
        <v/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2026-08-13T12:06:41Z</dcterms:created>
  <dcterms:modified xmlns:dcterms="http://purl.org/dc/terms/" xmlns:xsi="http://www.w3.org/2001/XMLSchema-instance" xsi:type="dcterms:W3CDTF">2026-08-13T13:00:56Z</dcterms:modified>
  <cp:lastModifiedBy>Stavros Tsamadias</cp:lastModifiedBy>
</cp:coreProperties>
</file>