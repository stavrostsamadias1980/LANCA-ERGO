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ΟΔΗΓΟΣ ΑΡΧΕΙΩΝ &amp; ΣΥΣΤΗΜΑΤΟΣ" sheetId="1" state="visible" r:id="rId1"/>
    <sheet xmlns:r="http://schemas.openxmlformats.org/officeDocument/2006/relationships" name="2. ΠΡΟΪΟΝΤΑ &amp; ΚΑΛΥΨΕΙΣ" sheetId="2" state="visible" r:id="rId2"/>
    <sheet xmlns:r="http://schemas.openxmlformats.org/officeDocument/2006/relationships" name="3. ΠΡΟΜΗΘΕΙΕΣ &amp; ΥΠΕΡΠΡΟΜΗΘΕΙΕΣ" sheetId="3" state="visible" r:id="rId3"/>
    <sheet xmlns:r="http://schemas.openxmlformats.org/officeDocument/2006/relationships" name="4. ΔΙΑΔΡΑΣΤΙΚΟΣ ΥΠΟΛΟΓΙΣΤΗΣ" sheetId="4" state="visible" r:id="rId4"/>
    <sheet xmlns:r="http://schemas.openxmlformats.org/officeDocument/2006/relationships" name="5. ΕΝΟΠΟΙΗΜΕΝΑ ΔΕΔΟΜΕΝΑ 2026" sheetId="5" state="visible" r:id="rId5"/>
    <sheet xmlns:r="http://schemas.openxmlformats.org/officeDocument/2006/relationships" name="6. ΕΚΚΑΘΑΡΙΣΗ &amp; DASHBOARD" sheetId="6" state="visible" r:id="rId6"/>
    <sheet xmlns:r="http://schemas.openxmlformats.org/officeDocument/2006/relationships" name="7. ΣΥΜΒΟΛΑΙΑ &amp; ΚΑΛΥΨΕΙΣ" sheetId="7" state="visible" r:id="rId7"/>
    <sheet xmlns:r="http://schemas.openxmlformats.org/officeDocument/2006/relationships" name="8. ΥΠΕΡΠΡΟΜΗΘΕΙΕΣ AGENCY" sheetId="8" state="visible" r:id="rId8"/>
    <sheet xmlns:r="http://schemas.openxmlformats.org/officeDocument/2006/relationships" name="9. ΠΡΟΜΗΘΕΙΕΣ ΣΥΝΕΡΓΑΤΩΝ" sheetId="9" state="visible" r:id="rId9"/>
    <sheet xmlns:r="http://schemas.openxmlformats.org/officeDocument/2006/relationships" name="10. ΣΥΜΦΩΝΙΑ ΛΟΓΑΡΙΑΣΜΟΥ 5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;[Red]-€ #,##0.00;&quot;€ 0.00&quot;"/>
  </numFmts>
  <fonts count="15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4A5568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1A202C"/>
      <sz val="9"/>
    </font>
    <font>
      <name val="Calibri"/>
      <color rgb="001A202C"/>
      <sz val="9"/>
    </font>
    <font>
      <name val="Calibri"/>
      <b val="1"/>
      <color rgb="001B365D"/>
      <sz val="10"/>
    </font>
    <font>
      <name val="Calibri"/>
      <b val="1"/>
      <color rgb="009B1C1C"/>
      <sz val="9"/>
    </font>
    <font>
      <name val="Calibri"/>
      <b val="1"/>
      <color rgb="00854D0E"/>
      <sz val="9"/>
    </font>
    <font>
      <name val="Calibri"/>
      <b val="1"/>
      <color rgb="004A5568"/>
      <sz val="9"/>
    </font>
    <font>
      <name val="Calibri"/>
      <b val="1"/>
      <color rgb="001B365D"/>
      <sz val="13"/>
    </font>
    <font>
      <name val="Calibri"/>
      <b val="1"/>
      <color rgb="00065F46"/>
      <sz val="10"/>
    </font>
    <font>
      <name val="Calibri"/>
      <b val="1"/>
      <color rgb="001E40AF"/>
      <sz val="10"/>
    </font>
    <font>
      <name val="Calibri"/>
      <b val="1"/>
      <color rgb="00065F46"/>
      <sz val="9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2C5282"/>
        <bgColor rgb="002C5282"/>
      </patternFill>
    </fill>
    <fill>
      <patternFill patternType="solid">
        <fgColor rgb="00A31D24"/>
        <bgColor rgb="00A31D24"/>
      </patternFill>
    </fill>
    <fill>
      <patternFill patternType="solid">
        <fgColor rgb="00EBF3FA"/>
        <bgColor rgb="00EBF3FA"/>
      </patternFill>
    </fill>
    <fill>
      <patternFill patternType="solid">
        <fgColor rgb="00FFFBEB"/>
        <bgColor rgb="00FFFBEB"/>
      </patternFill>
    </fill>
    <fill>
      <patternFill patternType="solid">
        <fgColor rgb="00E6F4EA"/>
        <bgColor rgb="00E6F4EA"/>
      </patternFill>
    </fill>
    <fill>
      <patternFill patternType="solid">
        <fgColor rgb="00FEF9C3"/>
        <bgColor rgb="00FEF9C3"/>
      </patternFill>
    </fill>
    <fill>
      <patternFill patternType="solid">
        <fgColor rgb="00FEF3D6"/>
        <bgColor rgb="00FEF3D6"/>
      </patternFill>
    </fill>
    <fill>
      <patternFill patternType="solid">
        <fgColor rgb="00FDE8E8"/>
        <bgColor rgb="00FDE8E8"/>
      </patternFill>
    </fill>
    <fill>
      <patternFill patternType="solid">
        <fgColor rgb="001E4D2B"/>
        <bgColor rgb="001E4D2B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medium">
        <color rgb="001B365D"/>
      </top>
      <bottom style="medium">
        <color rgb="001B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B365D"/>
      </bottom>
    </border>
    <border>
      <left style="thin">
        <color rgb="00CBD5E0"/>
      </left>
      <right style="thin">
        <color rgb="00CBD5E0"/>
      </right>
      <top style="thin">
        <color rgb="00CBD5E0"/>
      </top>
    </border>
    <border>
      <left style="thin">
        <color rgb="00CBD5E0"/>
      </left>
      <right style="thin">
        <color rgb="00CBD5E0"/>
      </right>
      <bottom style="thin">
        <color rgb="00CBD5E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10" fontId="6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10" fontId="6" fillId="3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center" vertical="center" wrapText="1"/>
    </xf>
    <xf numFmtId="10" fontId="5" fillId="0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1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10" fontId="5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left" vertical="center" wrapText="1"/>
    </xf>
    <xf numFmtId="164" fontId="7" fillId="8" borderId="2" applyAlignment="1" pivotButton="0" quotePrefix="0" xfId="0">
      <alignment horizontal="right" vertical="center"/>
    </xf>
    <xf numFmtId="10" fontId="7" fillId="8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164" fontId="0" fillId="3" borderId="2" applyAlignment="1" pivotButton="0" quotePrefix="0" xfId="0">
      <alignment horizontal="right" vertical="center"/>
    </xf>
    <xf numFmtId="10" fontId="0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164" fontId="5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10" fontId="6" fillId="9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  <xf numFmtId="0" fontId="0" fillId="6" borderId="3" pivotButton="0" quotePrefix="0" xfId="0"/>
    <xf numFmtId="164" fontId="7" fillId="6" borderId="3" applyAlignment="1" pivotButton="0" quotePrefix="0" xfId="0">
      <alignment horizontal="right" vertical="center"/>
    </xf>
    <xf numFmtId="10" fontId="7" fillId="6" borderId="3" applyAlignment="1" pivotButton="0" quotePrefix="0" xfId="0">
      <alignment horizontal="right" vertical="center"/>
    </xf>
    <xf numFmtId="0" fontId="10" fillId="6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164" fontId="11" fillId="6" borderId="5" applyAlignment="1" pivotButton="0" quotePrefix="0" xfId="0">
      <alignment horizontal="center" vertical="center" wrapText="1"/>
    </xf>
    <xf numFmtId="164" fontId="11" fillId="10" borderId="5" applyAlignment="1" pivotButton="0" quotePrefix="0" xfId="0">
      <alignment horizontal="center" vertical="center" wrapText="1"/>
    </xf>
    <xf numFmtId="164" fontId="11" fillId="8" borderId="5" applyAlignment="1" pivotButton="0" quotePrefix="0" xfId="0">
      <alignment horizontal="center" vertical="center" wrapText="1"/>
    </xf>
    <xf numFmtId="3" fontId="0" fillId="3" borderId="2" applyAlignment="1" pivotButton="0" quotePrefix="0" xfId="0">
      <alignment horizontal="center" vertical="center" wrapText="1"/>
    </xf>
    <xf numFmtId="3" fontId="0" fillId="0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 wrapText="1"/>
    </xf>
    <xf numFmtId="3" fontId="7" fillId="8" borderId="3" applyAlignment="1" pivotButton="0" quotePrefix="0" xfId="0">
      <alignment horizontal="center" vertical="center" wrapText="1"/>
    </xf>
    <xf numFmtId="164" fontId="7" fillId="8" borderId="3" applyAlignment="1" pivotButton="0" quotePrefix="0" xfId="0">
      <alignment horizontal="right" vertical="center"/>
    </xf>
    <xf numFmtId="10" fontId="7" fillId="8" borderId="3" applyAlignment="1" pivotButton="0" quotePrefix="0" xfId="0">
      <alignment horizontal="right" vertical="center"/>
    </xf>
    <xf numFmtId="3" fontId="7" fillId="6" borderId="3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164" fontId="6" fillId="11" borderId="2" applyAlignment="1" pivotButton="0" quotePrefix="0" xfId="0">
      <alignment horizontal="right" vertical="center"/>
    </xf>
    <xf numFmtId="164" fontId="5" fillId="11" borderId="2" applyAlignment="1" pivotButton="0" quotePrefix="0" xfId="0">
      <alignment horizontal="right" vertical="center"/>
    </xf>
    <xf numFmtId="10" fontId="6" fillId="11" borderId="2" applyAlignment="1" pivotButton="0" quotePrefix="0" xfId="0">
      <alignment horizontal="right" vertical="center"/>
    </xf>
    <xf numFmtId="0" fontId="0" fillId="8" borderId="3" pivotButton="0" quotePrefix="0" xfId="0"/>
    <xf numFmtId="0" fontId="12" fillId="8" borderId="2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49" fontId="12" fillId="8" borderId="5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164" fontId="14" fillId="3" borderId="2" applyAlignment="1" pivotButton="0" quotePrefix="0" xfId="0">
      <alignment horizontal="right" vertical="center"/>
    </xf>
    <xf numFmtId="164" fontId="1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45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ΟΔΗΓΟΣ ΑΡΧΕΙΩΝ &amp; ΣΥΣΤΗΜΑΤΟΣ ΠΑΡΑΓΩΓΗΣ / ΕΚΚΑΘΑΡΙΣΕΩΝ ERGO (ΔΑΣ)</t>
        </is>
      </c>
    </row>
    <row r="2">
      <c r="A2" s="2" t="inlineStr">
        <is>
          <t>Αναλυτικός Οδηγός Επεξήγησης Αρχείων, Σημασίας Πεδίων, Ροής Δεδομένων και Συσχετίσεων Γραφείου 1411 (LANCA Ε.Ε.)</t>
        </is>
      </c>
    </row>
    <row r="3"/>
    <row r="4">
      <c r="A4" s="3" t="inlineStr">
        <is>
          <t>Α. ΕΠΙΣΚΟΠΗΣΗ &amp; ΤΑΥΤΟΤΗΤΑ ΑΡΧΕΙΩΝ ΕΤΑΙΡΙΑΣ ERGO / ΔΑΣ</t>
        </is>
      </c>
    </row>
    <row r="5" ht="28" customHeight="1">
      <c r="A5" s="4" t="inlineStr">
        <is>
          <t>Τύπος Αρχείου / Μοτίβο Ονομασίας</t>
        </is>
      </c>
      <c r="B5" s="4" t="inlineStr">
        <is>
          <t>Ελληνική Ονομασία &amp; Περιγραφή</t>
        </is>
      </c>
      <c r="C5" s="4" t="inlineStr">
        <is>
          <t>Κύριος Σκοπός &amp; Περιεχόμενο</t>
        </is>
      </c>
      <c r="D5" s="4" t="inlineStr">
        <is>
          <t>Συχνότητα</t>
        </is>
      </c>
      <c r="E5" s="4" t="inlineStr">
        <is>
          <t>Τι Περιλαμβάνει Αναλυτικά</t>
        </is>
      </c>
      <c r="F5" s="4" t="inlineStr">
        <is>
          <t>Πώς Χρησιμοποιείται από το Γραφείο 1411</t>
        </is>
      </c>
      <c r="G5" s="4" t="inlineStr">
        <is>
          <t>Σύνδεση με Άλλα Αρχεία (Relational Link)</t>
        </is>
      </c>
    </row>
    <row r="6" ht="42" customHeight="1">
      <c r="A6" s="5" t="inlineStr">
        <is>
          <t>1411-ΜΗΤΡΩΟ ΠΑΡΑΓΩΓΗΣ MM_2026.csv</t>
        </is>
      </c>
      <c r="B6" s="5" t="inlineStr">
        <is>
          <t>Μητρώο Νέας Παραγωγής &amp; Κινήσεων Μηνός</t>
        </is>
      </c>
      <c r="C6" s="6" t="inlineStr">
        <is>
          <t>Επίσημη καταγραφή όλων των νέων συμβολαίων, προσθηκών και κινήσεων που εκδόθηκαν εντός του μηνός.</t>
        </is>
      </c>
      <c r="D6" s="6" t="inlineStr">
        <is>
          <t>Μηνιαία</t>
        </is>
      </c>
      <c r="E6" s="6" t="inlineStr">
        <is>
          <t>Αρ. Συμβολαίου, Αρ. Απόδειξης, Κωδικός Συνεργάτη, Ονοματεπώνυμο Πελάτη, Ημ/νία Έκδοσης, Ημ/νία Έναρξης, Διάρκεια, Μικτά, Καθαρά, Δικαιώματα, Προμήθειες.</t>
        </is>
      </c>
      <c r="F6" s="6" t="inlineStr">
        <is>
          <t>Έλεγχος και επιβεβαίωση της νέας παραγωγής του γραφείου και των συνεργατών. Καταμέτρηση νέων πελατών και υπολογισμός στόχων.</t>
        </is>
      </c>
      <c r="G6" s="6" t="inlineStr">
        <is>
          <t>Συνδέεται με UATOP612 &amp; ΠΡΟΜΗΘΕΙΕΣ μέσω του Αριθμού Συμβολαίου.</t>
        </is>
      </c>
    </row>
    <row r="7" ht="42" customHeight="1">
      <c r="A7" s="7" t="inlineStr">
        <is>
          <t>1411-ΠΙΝΑΚΙΟ ΑΝΑΝΕΩΣΕΩΝ MM_2026.csv</t>
        </is>
      </c>
      <c r="B7" s="7" t="inlineStr">
        <is>
          <t>Πινάκιο Ανανεώσεων (Ενημερωτικό / Πρόβλεψη)</t>
        </is>
      </c>
      <c r="C7" s="8" t="inlineStr">
        <is>
          <t>Ενημερωτική κατάσταση επικείμενων ανανεώσεων για πληροφόρηση του συνεργάτη (τι αναμένεται να εισπραχθεί και να πιστωθεί).</t>
        </is>
      </c>
      <c r="D7" s="8" t="inlineStr">
        <is>
          <t>Μηνιαία</t>
        </is>
      </c>
      <c r="E7" s="8" t="inlineStr">
        <is>
          <t>Αρ. Συμβολαίου, Αρ. Απόδειξης, Ονοματεπώνυμο, Ημ/νία Ανανέωσης, Τρόπος Πληρωμής, Αναμενόμενα Μικτά/Καθαρά, Αναμενόμενη Προμήθεια Συνεργάτη.</t>
        </is>
      </c>
      <c r="F7" s="8" t="inlineStr">
        <is>
          <t>Χρησιμεύει ως εργαλείο πρόβλεψης &amp; ενημέρωσης του συνεργάτη για το τι περιμένει να λάβει. ΔΕΝ αποτελεί τελική ταμειακή εκκαθάριση (η επίσημη πληρωμή προμηθειών &amp; υπερπρομηθειών πραγματοποιείται ΜΟΝΟ από τα αρχεία 1411-ΠΡΟΜΗΘΕΙΕΣ μετά την είσπραξη).</t>
        </is>
      </c>
      <c r="G7" s="8" t="inlineStr">
        <is>
          <t>Συνδέεται με το αρχείο ΠΡΟΜΗΘΕΙΕΣ αφού πληρωθεί το ασφαλιστήριο συμβόλαιο.</t>
        </is>
      </c>
    </row>
    <row r="8" ht="42" customHeight="1">
      <c r="A8" s="5" t="inlineStr">
        <is>
          <t>1411-ΠΡΟΜΗΘΕΙΕΣ - ΥΠΕΡΠΡΟΜΗΘΕΙΕΣ MM_2026.csv</t>
        </is>
      </c>
      <c r="B8" s="5" t="inlineStr">
        <is>
          <t>Μηνιαία Εκκαθάριση Προμηθειών &amp; Υπερπρομηθειών</t>
        </is>
      </c>
      <c r="C8" s="6" t="inlineStr">
        <is>
          <t>Το επίσημο εκκαθαριστικό σημείωμα (Statement) πληρωμών αμοιβών παραγωγών και υπερπρομηθειών δικτύου.</t>
        </is>
      </c>
      <c r="D8" s="6" t="inlineStr">
        <is>
          <t>Μηνιαία</t>
        </is>
      </c>
      <c r="E8" s="6" t="inlineStr">
        <is>
          <t>Διαχωρισμός εγγραφών ανά ρόλο (ΠΑΡΑΓΩΓΟΣ vs AGENCY), Αρ. Συμβολαίου, Αρ. Απόδειξης, Κλάδος (Ζωή, Υγεία), Καθαρά Ασφάλιστρα, Ποσό Προμήθειας, Ποσό Υπερπρομήθειας Agency (20%).</t>
        </is>
      </c>
      <c r="F8" s="6" t="inlineStr">
        <is>
          <t>Το κεντρικό αρχείο οικονομικής εκκαθάρισης. Από εδώ προκύπτει τι πιστώνεται στον συνεργάτη και τι κερδίζει το Γραφείο 1411 (LANCA Ε.Ε.) ως Υπερπρομήθεια Δικτύου.</t>
        </is>
      </c>
      <c r="G8" s="6" t="inlineStr">
        <is>
          <t>Αποτελεί το οικονομικό αποτέλεσμα της σύζευξης Μητρώου Παραγωγής και Πινακίου Ανανεώσεων.</t>
        </is>
      </c>
    </row>
    <row r="9" ht="42" customHeight="1">
      <c r="A9" s="7" t="inlineStr">
        <is>
          <t>1411-UATOP612_MONTH_DD_MM_2026.csv</t>
        </is>
      </c>
      <c r="B9" s="7" t="inlineStr">
        <is>
          <t>Κεντρικό Μητρώο Συμβολαίων, Αποδείξεων &amp; Οικονομικών Μεγεθών (Core Ledger)</t>
        </is>
      </c>
      <c r="C9" s="8" t="inlineStr">
        <is>
          <t>Το θεμελιώδες master record του συστήματος της ERGO. Περιέχει την πλήρη ανάλυση μικτών, καθαρών, φόρων, δικαιωμάτων και όλων των βαθμίδων προμηθειών.</t>
        </is>
      </c>
      <c r="D9" s="8" t="inlineStr">
        <is>
          <t>Μηνιαία</t>
        </is>
      </c>
      <c r="E9" s="8" t="inlineStr">
        <is>
          <t>F612SYM (Συμβόλαιο), F612APD (Απόδειξη), F612MIK (Μικτά), F612ASK (Καθαρά), F612DIK (Δικαίωμα), F612FKE (Φόρος), F612PPO (Προμήθεια Παραγωγού), F612PAG (Υπερπρομήθεια Agency), F612PUN (Unit), F612KLEIDI.</t>
        </is>
      </c>
      <c r="F9" s="8" t="inlineStr">
        <is>
          <t>Αποτελεί την πηγή αλήθειας για κάθε οικονομικό υπολογισμό, έλεγχο ακρίβειας φόρων, δικαιωμάτων και σωστής απόδοσης ποσοστών υπερπρομήθειας.</t>
        </is>
      </c>
      <c r="G9" s="8" t="inlineStr">
        <is>
          <t>Συνδέεται 1-προς-1 με UATOP613 (Συμβαλλόμενος), 1-προς-Ν με UATOP614 (Ασφαλισμένοι) και 1-προς-Ν με UATOP615 (Καλύψεις) μέσω του πεδίου F612KLEIDI.</t>
        </is>
      </c>
    </row>
    <row r="10" ht="42" customHeight="1">
      <c r="A10" s="5" t="inlineStr">
        <is>
          <t>1411-UATOP613_MONTH_DD_MM_2026.csv</t>
        </is>
      </c>
      <c r="B10" s="5" t="inlineStr">
        <is>
          <t>Μητρώο Στοιχείων Συμβαλλομένων / Πελατών</t>
        </is>
      </c>
      <c r="C10" s="6" t="inlineStr">
        <is>
          <t>Αναλυτικά δημογραφικά, επικοινωνίας και φορολογικά στοιχεία των πελατών/συμβαλλομένων.</t>
        </is>
      </c>
      <c r="D10" s="6" t="inlineStr">
        <is>
          <t>Μηνιαία</t>
        </is>
      </c>
      <c r="E10" s="6" t="inlineStr">
        <is>
          <t>Ονοματεπώνυμο, ΑΦΜ, ΔΟΥ, Διεύθυνση, Πόλη, Τ.Κ., Τηλέφωνα επικοινωνίας (Κινητό/Σταθερό), Email, Αριθμός Ταυτότητας (ΑΔΤ), IBAN.</t>
        </is>
      </c>
      <c r="F10" s="6" t="inlineStr">
        <is>
          <t>Χρήση για CRM, ταυτοποίηση πελατών, αποστολή ειδοποιητηρίων και φορολογικό έλεγχο.</t>
        </is>
      </c>
      <c r="G10" s="6" t="inlineStr">
        <is>
          <t>Συνδέεται με UATOP612 μέσω του κλειδιού F613KLEIDI και Αρ. Συμβολαίου.</t>
        </is>
      </c>
    </row>
    <row r="11" ht="42" customHeight="1">
      <c r="A11" s="7" t="inlineStr">
        <is>
          <t>1411-UATOP614_MONTH_DD_MM_2026.csv</t>
        </is>
      </c>
      <c r="B11" s="7" t="inlineStr">
        <is>
          <t>Μητρώο Ασφαλισμένων Προσώπων &amp; Εξαρτωμένων Μελών</t>
        </is>
      </c>
      <c r="C11" s="8" t="inlineStr">
        <is>
          <t>Στοιχεία όλων των φυσικών προσώπων που καλύπτονται από το κάθε ασφαλιστήριο συμβόλαιο (κυρίως ασφαλισμένος, σύζυγος, τέκνα).</t>
        </is>
      </c>
      <c r="D11" s="8" t="inlineStr">
        <is>
          <t>Μηνιαία</t>
        </is>
      </c>
      <c r="E11" s="8" t="inlineStr">
        <is>
          <t>Ονοματεπώνυμο Ασφαλισμένου, Ημερομηνία Γέννησης, Φύλο, Σχέση με τον Συμβαλλόμενο (Κυρίως Ασφαλισμένος, Σύζυγος, Τέκνο), Α/Α Εξαρτώμενου.</t>
        </is>
      </c>
      <c r="F11" s="8" t="inlineStr">
        <is>
          <t>Απαραίτητο για τον έλεγχο ορίων ηλικίας, προϋποθέσεων εισόδου/ανανέωσης και διασταύρωση παροχών υγείας.</t>
        </is>
      </c>
      <c r="G11" s="8" t="inlineStr">
        <is>
          <t>Συνδέεται με UATOP612 και UATOP615 μέσω του κλειδιού F614KLEIDI.</t>
        </is>
      </c>
    </row>
    <row r="12" ht="42" customHeight="1">
      <c r="A12" s="5" t="inlineStr">
        <is>
          <t>1411-UATOP615_MONTH_DD_MM_2026.csv</t>
        </is>
      </c>
      <c r="B12" s="5" t="inlineStr">
        <is>
          <t>Αναλυτικό Μητρώο Καλύψεων &amp; Προγραμμάτων (Coverages Ledger)</t>
        </is>
      </c>
      <c r="C12" s="6" t="inlineStr">
        <is>
          <t>Καταγραφή κάθε επιμέρους κάλυψης ανά συμβόλαιο με τα δικά της ασφάλιστρα, κεφάλαια, απαλλαγές και προμήθειες.</t>
        </is>
      </c>
      <c r="D12" s="6" t="inlineStr">
        <is>
          <t>Μηνιαία</t>
        </is>
      </c>
      <c r="E12" s="6" t="inlineStr">
        <is>
          <t>F615PER (Περιγραφή Κάλυψης π.χ. Health Care Superior €1.500, Ασφάλιση Ζωής), F615KAL (Κωδικός Κάλυψης), F615KEK (Κεφάλαιο Κάλυψης), F615PAPASU (Ποσό Απαλλαγής), F615ASK (Καθαρό Ασφάλιστρο), F615PROM (Προμήθεια).</t>
        </is>
      </c>
      <c r="F12" s="6" t="inlineStr">
        <is>
          <t>Επιτρέπει τον ακριβή έλεγχο των καλύψεων κάθε συμβολαίου (ποια απαλλαγή επελέγη, ποιο νοσοκομειακό πρόγραμμα, ποιες συμπληρωματικές καλύψεις ζωής υπάρχουν).</t>
        </is>
      </c>
      <c r="G12" s="6" t="inlineStr">
        <is>
          <t>Συνδέεται με UATOP612 μέσω του F615KLEIDI.</t>
        </is>
      </c>
    </row>
    <row r="13" ht="42" customHeight="1">
      <c r="A13" s="7" t="inlineStr">
        <is>
          <t>__57.pdf</t>
        </is>
      </c>
      <c r="B13" s="7" t="inlineStr">
        <is>
          <t>Καρτέλα Λογαριασμού 57 (Τρεχούμενος Λογαριασμός ERGO)</t>
        </is>
      </c>
      <c r="C13" s="8" t="inlineStr">
        <is>
          <t>Επίσημη τραπεζική/οικονομική καρτέλα της ERGO όπου αποτυπώνονται όλες οι αποδεσμεύσεις προμηθειών &amp; υπερπρομηθειών (Ζωής, Υγείας, Γενικών Κλάδων) και οι πληρωμές.</t>
        </is>
      </c>
      <c r="D13" s="8" t="inlineStr">
        <is>
          <t>Μηνιαία</t>
        </is>
      </c>
      <c r="E13" s="8" t="inlineStr">
        <is>
          <t>Ημερομηνία Κίνησης, Περιγραφή (Αποδέσμευση αμοιβών Ζωής &amp; Υγείας, Αποδέσμευση προμήθειας/υπερπρομ.), Χρέωση, Πίστωση, Τελικό Υπόλοιπο.</t>
        </is>
      </c>
      <c r="F13" s="8" t="inlineStr">
        <is>
          <t>Χρησιμεύει για την τελική ταμειακή συμφωνία (Reconciliation): Η εκκαθάριση του Μήνα Μ πιστώνεται στον Λογαριασμό 57 τον Μήνα Μ+1.</t>
        </is>
      </c>
      <c r="G13" s="8" t="inlineStr">
        <is>
          <t>Συνδέεται άμεσα με τα Φύλλα 5 &amp; 6 για έλεγχο απόλυτης ταύτισης αποδεσμεύσεων (Φύλλο 10).</t>
        </is>
      </c>
    </row>
    <row r="14"/>
    <row r="15"/>
    <row r="16">
      <c r="A16" s="3" t="inlineStr">
        <is>
          <t>Β. ΛΕΞΙΚΟ ΤΕΧΝΙΚΩΝ ΠΕΔΙΩΝ &amp; ΣΤΗΛΩΝ (DATA DICTIONARY)</t>
        </is>
      </c>
    </row>
    <row r="17" ht="26" customHeight="1">
      <c r="A17" s="9" t="inlineStr">
        <is>
          <t>Όνομα Πεδίου (Field Name)</t>
        </is>
      </c>
      <c r="B17" s="9" t="inlineStr">
        <is>
          <t>Ελληνική Ονομασία / Τίτλος</t>
        </is>
      </c>
      <c r="C17" s="9" t="inlineStr">
        <is>
          <t>Περιγραφή &amp; Σημασία</t>
        </is>
      </c>
      <c r="D17" s="9" t="inlineStr">
        <is>
          <t>Πού Εμφανίζεται (Αρχεία)</t>
        </is>
      </c>
      <c r="E17" s="9" t="inlineStr">
        <is>
          <t>Παράδειγμα Τιμής</t>
        </is>
      </c>
      <c r="F17" s="9" t="inlineStr">
        <is>
          <t>Ρόλος στον Υπολογισμό Προμηθειών &amp; Ασφαλίστρων</t>
        </is>
      </c>
    </row>
    <row r="18" ht="26" customHeight="1">
      <c r="A18" s="5" t="inlineStr">
        <is>
          <t>F612SYM</t>
        </is>
      </c>
      <c r="B18" s="5" t="inlineStr">
        <is>
          <t>Αριθμός Συμβολαίου</t>
        </is>
      </c>
      <c r="C18" s="6" t="inlineStr">
        <is>
          <t>Ο μοναδικός 10-ψήφιος κωδικός αριθμός του ασφαλιστηρίου συμβολαίου στην ERGO.</t>
        </is>
      </c>
      <c r="D18" s="6" t="inlineStr">
        <is>
          <t>UATOP 612-615, Μητρώο, Πινάκιο, Προμήθειες</t>
        </is>
      </c>
      <c r="E18" s="6" t="inlineStr">
        <is>
          <t>2026000765</t>
        </is>
      </c>
      <c r="F18" s="6" t="inlineStr">
        <is>
          <t>Κύριο αναγνωριστικό συμβολαίου.</t>
        </is>
      </c>
    </row>
    <row r="19" ht="26" customHeight="1">
      <c r="A19" s="7" t="inlineStr">
        <is>
          <t>F612APD</t>
        </is>
      </c>
      <c r="B19" s="7" t="inlineStr">
        <is>
          <t>Αριθμός Απόδειξης / Ειδοποίησης</t>
        </is>
      </c>
      <c r="C19" s="8" t="inlineStr">
        <is>
          <t>Ο αριθμός της εκδοθείσας απόδειξης πληρωμής / ειδοποιητηρίου ασφαλίστρων.</t>
        </is>
      </c>
      <c r="D19" s="8" t="inlineStr">
        <is>
          <t>UATOP 612-615, Μητρώο, Πινάκιο, Προμήθειες</t>
        </is>
      </c>
      <c r="E19" s="8" t="inlineStr">
        <is>
          <t>126897 / 80430703</t>
        </is>
      </c>
      <c r="F19" s="8" t="inlineStr">
        <is>
          <t>Κύριο αναγνωριστικό περιόδου πληρωμής.</t>
        </is>
      </c>
    </row>
    <row r="20" ht="26" customHeight="1">
      <c r="A20" s="5" t="inlineStr">
        <is>
          <t>F612KLEIDI</t>
        </is>
      </c>
      <c r="B20" s="5" t="inlineStr">
        <is>
          <t>Κλειδί Εγγραφής (Master Record Key)</t>
        </is>
      </c>
      <c r="C20" s="6" t="inlineStr">
        <is>
          <t>Σύνθετο κλειδί που ενώνει Συμβόλαιο + Απόδειξη + Κωδικό Κίνησης (π.χ. 20260007650000126897...).</t>
        </is>
      </c>
      <c r="D20" s="6" t="inlineStr">
        <is>
          <t>UATOP 612, 613, 614, 615</t>
        </is>
      </c>
      <c r="E20" s="6" t="inlineStr">
        <is>
          <t>202600076500001268970000000000</t>
        </is>
      </c>
      <c r="F20" s="6" t="inlineStr">
        <is>
          <t>Εξασφαλίζει 100% αλάνθαστη συσχέτιση όλων των UATOP αρχείων.</t>
        </is>
      </c>
    </row>
    <row r="21" ht="26" customHeight="1">
      <c r="A21" s="7" t="inlineStr">
        <is>
          <t>F613EPO1 / F613ONO1</t>
        </is>
      </c>
      <c r="B21" s="7" t="inlineStr">
        <is>
          <t>Ονοματεπώνυμο Συμβαλλομένου</t>
        </is>
      </c>
      <c r="C21" s="8" t="inlineStr">
        <is>
          <t>Το πλήρες ονοματεπώνυμο του λήπτη ασφάλισης / πελάτη.</t>
        </is>
      </c>
      <c r="D21" s="8" t="inlineStr">
        <is>
          <t>UATOP613</t>
        </is>
      </c>
      <c r="E21" s="8" t="inlineStr">
        <is>
          <t>ΠΑΛΙΑΤΣΑΣ ΑΘΑΝΑΣΙΟΣ</t>
        </is>
      </c>
      <c r="F21" s="8" t="inlineStr">
        <is>
          <t>Ταυτοποίηση πελάτη.</t>
        </is>
      </c>
    </row>
    <row r="22" ht="26" customHeight="1">
      <c r="A22" s="5" t="inlineStr">
        <is>
          <t>F613AFM1 / F613AFM2</t>
        </is>
      </c>
      <c r="B22" s="5" t="inlineStr">
        <is>
          <t>ΑΦΜ Πελάτη / Εταιρείας</t>
        </is>
      </c>
      <c r="C22" s="6" t="inlineStr">
        <is>
          <t>Ο Αριθμός Φορολογικού Μητρώου του πελάτη ή της συμβαλλόμενης εταιρείας.</t>
        </is>
      </c>
      <c r="D22" s="6" t="inlineStr">
        <is>
          <t>UATOP613</t>
        </is>
      </c>
      <c r="E22" s="6" t="inlineStr">
        <is>
          <t>135971330 / 800769452</t>
        </is>
      </c>
      <c r="F22" s="6" t="inlineStr">
        <is>
          <t>Φορολογική ταυτοποίηση.</t>
        </is>
      </c>
    </row>
    <row r="23" ht="26" customHeight="1">
      <c r="A23" s="7" t="inlineStr">
        <is>
          <t>F613KNT1 / F613EMA1</t>
        </is>
      </c>
      <c r="B23" s="7" t="inlineStr">
        <is>
          <t>Κινητό Τηλέφωνο &amp; Email</t>
        </is>
      </c>
      <c r="C23" s="8" t="inlineStr">
        <is>
          <t>Τα κύρια στοιχεία άμεσης επικοινωνίας του πελάτη.</t>
        </is>
      </c>
      <c r="D23" s="8" t="inlineStr">
        <is>
          <t>UATOP613</t>
        </is>
      </c>
      <c r="E23" s="8" t="inlineStr">
        <is>
          <t>6947904961 / THANASISPALIATSAS@GMAIL.COM</t>
        </is>
      </c>
      <c r="F23" s="8" t="inlineStr">
        <is>
          <t>Επικοινωνία &amp; εξυπηρέτηση.</t>
        </is>
      </c>
    </row>
    <row r="24" ht="26" customHeight="1">
      <c r="A24" s="5" t="inlineStr">
        <is>
          <t>F613ADO1 / F613APO1</t>
        </is>
      </c>
      <c r="B24" s="5" t="inlineStr">
        <is>
          <t>Διεύθυνση, Πόλη &amp; ΤΚ</t>
        </is>
      </c>
      <c r="C24" s="6" t="inlineStr">
        <is>
          <t>Η πλήρης ταχυδρομική διεύθυνση του πελάτη.</t>
        </is>
      </c>
      <c r="D24" s="6" t="inlineStr">
        <is>
          <t>UATOP613</t>
        </is>
      </c>
      <c r="E24" s="6" t="inlineStr">
        <is>
          <t>Αιτωλικού 98, Μεσολόγγι ΤΚ 30200</t>
        </is>
      </c>
      <c r="F24" s="6" t="inlineStr">
        <is>
          <t>Αποστολή εγγράφων.</t>
        </is>
      </c>
    </row>
    <row r="25" ht="26" customHeight="1">
      <c r="A25" s="7" t="inlineStr">
        <is>
          <t>F612MIK</t>
        </is>
      </c>
      <c r="B25" s="7" t="inlineStr">
        <is>
          <t>Μικτά Ασφάλιστρα (Gross Premium)</t>
        </is>
      </c>
      <c r="C25" s="8" t="inlineStr">
        <is>
          <t>Το τελικό συνολικό ποσό πληρωμής από τον πελάτη (καθαρά + δικαιώματα + φόροι).</t>
        </is>
      </c>
      <c r="D25" s="8" t="inlineStr">
        <is>
          <t>UATOP612, Μητρώο, Πινάκιο</t>
        </is>
      </c>
      <c r="E25" s="8" t="inlineStr">
        <is>
          <t>€ 817.80</t>
        </is>
      </c>
      <c r="F25" s="8" t="inlineStr">
        <is>
          <t>Το ποσό είσπραξης από τον πελάτη.</t>
        </is>
      </c>
    </row>
    <row r="26" ht="26" customHeight="1">
      <c r="A26" s="5" t="inlineStr">
        <is>
          <t>F612ASK</t>
        </is>
      </c>
      <c r="B26" s="5" t="inlineStr">
        <is>
          <t>Καθαρά Ασφάλιστρα (Net Premium)</t>
        </is>
      </c>
      <c r="C26" s="6" t="inlineStr">
        <is>
          <t>Το καθαρό ασφάλιστρο κινδύνου της περιόδου. Αποτελεί τη βάση υπολογισμού όλων των προμηθειών.</t>
        </is>
      </c>
      <c r="D26" s="6" t="inlineStr">
        <is>
          <t>UATOP612, 615, Προμήθειες</t>
        </is>
      </c>
      <c r="E26" s="6" t="inlineStr">
        <is>
          <t>€ 666.12</t>
        </is>
      </c>
      <c r="F26" s="6" t="inlineStr">
        <is>
          <t>Βάση Υπολογισμού: Προμήθειες = ASK * %.</t>
        </is>
      </c>
    </row>
    <row r="27" ht="26" customHeight="1">
      <c r="A27" s="7" t="inlineStr">
        <is>
          <t>F612DIK</t>
        </is>
      </c>
      <c r="B27" s="7" t="inlineStr">
        <is>
          <t>Δικαίωμα Συμβολαίου (Policy Fee)</t>
        </is>
      </c>
      <c r="C27" s="8" t="inlineStr">
        <is>
          <t>Το πάγιο διαχειριστικό δικαίωμα έκδοσης του συμβολαίου (π.χ. €45, €15, €11.59).</t>
        </is>
      </c>
      <c r="D27" s="8" t="inlineStr">
        <is>
          <t>UATOP612, Μητρώο, Πινάκιο</t>
        </is>
      </c>
      <c r="E27" s="8" t="inlineStr">
        <is>
          <t>€ 45.00</t>
        </is>
      </c>
      <c r="F27" s="8" t="inlineStr">
        <is>
          <t>Προστίθεται στο καθαρό για τη διαμόρφωση του μικτού.</t>
        </is>
      </c>
    </row>
    <row r="28" ht="26" customHeight="1">
      <c r="A28" s="5" t="inlineStr">
        <is>
          <t>F612FKE</t>
        </is>
      </c>
      <c r="B28" s="5" t="inlineStr">
        <is>
          <t>Φόρος Ασφαλίστρων</t>
        </is>
      </c>
      <c r="C28" s="6" t="inlineStr">
        <is>
          <t>Ο νόμιμος φόρος κύκλου εργασιών / ασφαλίστρων.</t>
        </is>
      </c>
      <c r="D28" s="6" t="inlineStr">
        <is>
          <t>UATOP612, Μητρώο</t>
        </is>
      </c>
      <c r="E28" s="6" t="inlineStr">
        <is>
          <t>€ 106.68</t>
        </is>
      </c>
      <c r="F28" s="6" t="inlineStr">
        <is>
          <t>Φορολογική επιβάρυνση επί του ασφαλίστρου.</t>
        </is>
      </c>
    </row>
    <row r="29" ht="26" customHeight="1">
      <c r="A29" s="7" t="inlineStr">
        <is>
          <t>F612POL / F612SYNERG</t>
        </is>
      </c>
      <c r="B29" s="7" t="inlineStr">
        <is>
          <t>Κωδικός Συνεργάτη / Παραγωγού</t>
        </is>
      </c>
      <c r="C29" s="8" t="inlineStr">
        <is>
          <t>Ο κωδικός του ασφαλιστικού συμβούλου που έκανε την πώληση.</t>
        </is>
      </c>
      <c r="D29" s="8" t="inlineStr">
        <is>
          <t>UATOP612, 614, 615, Προμήθειες</t>
        </is>
      </c>
      <c r="E29" s="8" t="inlineStr">
        <is>
          <t>1411 (ή Υποκωδικός)</t>
        </is>
      </c>
      <c r="F29" s="8" t="inlineStr">
        <is>
          <t>Καθορίζει ποιος πιστώνεται την προμήθεια παραγωγού.</t>
        </is>
      </c>
    </row>
    <row r="30" ht="26" customHeight="1">
      <c r="A30" s="5" t="inlineStr">
        <is>
          <t>F612AGE / F612PAG</t>
        </is>
      </c>
      <c r="B30" s="5" t="inlineStr">
        <is>
          <t>Κωδικός Agency &amp; Υπερπρομήθεια Agency (€)</t>
        </is>
      </c>
      <c r="C30" s="6" t="inlineStr">
        <is>
          <t>Ο κεντρικός κωδικός γραφείου 1411 (LANCA) και το ποσό υπερπρομήθειας Agency (20% επί της PPO).</t>
        </is>
      </c>
      <c r="D30" s="6" t="inlineStr">
        <is>
          <t>UATOP612, Προμήθειες</t>
        </is>
      </c>
      <c r="E30" s="6" t="inlineStr">
        <is>
          <t>1411 / € 38.63</t>
        </is>
      </c>
      <c r="F30" s="6" t="inlineStr">
        <is>
          <t>Υπερπρομήθεια Γραφείου = F612PPO * 20.00%.</t>
        </is>
      </c>
    </row>
    <row r="31" ht="26" customHeight="1">
      <c r="A31" s="7" t="inlineStr">
        <is>
          <t>F615PER</t>
        </is>
      </c>
      <c r="B31" s="7" t="inlineStr">
        <is>
          <t>Περιγραφή Κάλυψης Προγράμματος</t>
        </is>
      </c>
      <c r="C31" s="8" t="inlineStr">
        <is>
          <t>Η επίσημη ονομασία του ασφαλιστικού προγράμματος και της επιμέρους κάλυψης.</t>
        </is>
      </c>
      <c r="D31" s="8" t="inlineStr">
        <is>
          <t>UATOP615</t>
        </is>
      </c>
      <c r="E31" s="8" t="inlineStr">
        <is>
          <t>ERGO HEALTH CARE SUPERIOR € 1.500</t>
        </is>
      </c>
      <c r="F31" s="8" t="inlineStr">
        <is>
          <t>Προσδιορίζει το ασφαλιστικό προϊόν και τον συντελεστή προμήθειας.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41" customWidth="1" min="3" max="3"/>
    <col width="36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ΚΑΤΑΛΟΓΟΣ ΑΣΦΑΛΙΣΤΙΚΩΝ ΠΡΟΪΟΝΤΩΝ &amp; ΚΑΛΥΨΕΩΝ ERGO (ΔΑΣ)</t>
        </is>
      </c>
    </row>
    <row r="2">
      <c r="A2" s="2" t="inlineStr">
        <is>
          <t>Αναλυτική Χαρτογράφηση Καλύψεων, Ορίων, Απαλλαγών, Θέσεων Νοσηλείας &amp; Ειδικών Παροχών από τα Επίσημα Έγγραφα (IPIDs &amp; Πλοηγός)</t>
        </is>
      </c>
    </row>
    <row r="3"/>
    <row r="4">
      <c r="A4" s="3" t="inlineStr">
        <is>
          <t>1. ΠΡΟΓΡΑΜΜΑΤΑ ΝΟΣΟΚΟΜΕΙΑΚΗΣ &amp; ΕΞΩΝΟΣΟΚΟΜΕΙΑΚΗΣ ΠΕΡΙΘΑΛΨΗΣ (ΥΓΕΙΑ)</t>
        </is>
      </c>
    </row>
    <row r="5" ht="26" customHeight="1">
      <c r="A5" s="10" t="inlineStr">
        <is>
          <t>Πρόγραμμα / Κλάδος</t>
        </is>
      </c>
      <c r="B5" s="10" t="inlineStr">
        <is>
          <t>Κωδικός Προγράμματος</t>
        </is>
      </c>
      <c r="C5" s="10" t="inlineStr">
        <is>
          <t>Ανώτατο Όριο Κάλυψης (€)</t>
        </is>
      </c>
      <c r="D5" s="10" t="inlineStr">
        <is>
          <t>Επιλογές Απαλλαγής (€)</t>
        </is>
      </c>
      <c r="E5" s="10" t="inlineStr">
        <is>
          <t>Θέση Νοσηλείας</t>
        </is>
      </c>
      <c r="F5" s="10" t="inlineStr">
        <is>
          <t>Καλύψεις &amp; Ειδικές Παροχές</t>
        </is>
      </c>
      <c r="G5" s="10" t="inlineStr">
        <is>
          <t>Κάλυψη Εξωτερικού &amp; Ειδικοί Όροι</t>
        </is>
      </c>
    </row>
    <row r="6" ht="45" customHeight="1">
      <c r="A6" s="5" t="inlineStr">
        <is>
          <t>ERGO Health Care Simple</t>
        </is>
      </c>
      <c r="B6" s="5" t="inlineStr">
        <is>
          <t>020118 - 020318</t>
        </is>
      </c>
      <c r="C6" s="6" t="inlineStr">
        <is>
          <t>€ 300,000 ανά περιστατικό &amp; ανά έτος</t>
        </is>
      </c>
      <c r="D6" s="6" t="inlineStr">
        <is>
          <t>€ 500 / € 1,500 / € 3,000</t>
        </is>
      </c>
      <c r="E6" s="6" t="inlineStr">
        <is>
          <t>Β' Θέση (Δίκλινο)</t>
        </is>
      </c>
      <c r="F6" s="6" t="inlineStr">
        <is>
          <t>Νοσοκομειακή περίθαλψη 100% μετά την απαλλαγή σε συμβεβλημένα νοσηλευτήρια, ΜΕΘ/ΜΑΦ 100%, Χειρουργικές επεμβάσεις, Αμοιβές ιατρών/χειρουργών, Επείγοντα περιστατικά έως €500/περιστατικό, Χημειοθεραπείες / Ακτινοθεραπείες χωρίς απαλλαγή, Χειρουργικό επίδομα.</t>
        </is>
      </c>
      <c r="G6" s="6" t="inlineStr">
        <is>
          <t>Κάλυψη στην Ευρώπη και παγκοσμίως (εκτός ΗΠΑ/Καναδά με 80% συμμετοχή εταιρείας). Απευθείας διακανονισμός στο συμβεβλημένο δίκτυο ERGO.</t>
        </is>
      </c>
    </row>
    <row r="7" ht="45" customHeight="1">
      <c r="A7" s="7" t="inlineStr">
        <is>
          <t>ERGO Health Care Advanced</t>
        </is>
      </c>
      <c r="B7" s="7" t="inlineStr">
        <is>
          <t>020418 - 020618</t>
        </is>
      </c>
      <c r="C7" s="8" t="inlineStr">
        <is>
          <t>€ 500,000 ανά περιστατικό &amp; ανά έτος</t>
        </is>
      </c>
      <c r="D7" s="8" t="inlineStr">
        <is>
          <t>€ 500 / € 1,500 / € 3,000</t>
        </is>
      </c>
      <c r="E7" s="8" t="inlineStr">
        <is>
          <t>Α' Θέση (Μονόκλινο)</t>
        </is>
      </c>
      <c r="F7" s="8" t="inlineStr">
        <is>
          <t>Πλήρης κάλυψη νοσηλείας 100% μετά την απαλλαγή, ΜΕΘ/ΜΑΦ χωρίς όριο, Προ-νοσοκομειακά και μετα-νοσοκομειακά έξοδα (έως 60 ημέρες πριν &amp; 90 ημέρες μετά), Έξοδα συνοδού για παιδιά, Αποκλειστική νοσοκόμα, Επείγουσα υγειονομική μεταφορά (Ασθενοφόρο/Αερομεταφορά), Ειδικά επιδόματα τοκετού &amp; χειρουργικής επέμβασης.</t>
        </is>
      </c>
      <c r="G7" s="8" t="inlineStr">
        <is>
          <t>Κάλυψη στην Ευρώπη &amp; Παγκόσμια (με ΗΠΑ/Καναδά 80%-90%). Απευθείας κάλυψη στα μεγαλύτερα ιδιωτικά θεραπευτήρια.</t>
        </is>
      </c>
    </row>
    <row r="8" ht="45" customHeight="1">
      <c r="A8" s="5" t="inlineStr">
        <is>
          <t>ERGO Health Care Superior</t>
        </is>
      </c>
      <c r="B8" s="5" t="inlineStr">
        <is>
          <t>020718 - 021118</t>
        </is>
      </c>
      <c r="C8" s="6" t="inlineStr">
        <is>
          <t>€ 1,000,000 ανά περιστατικό &amp; ανά έτος</t>
        </is>
      </c>
      <c r="D8" s="6" t="inlineStr">
        <is>
          <t>€ 500 / € 1,500 / € 3,000</t>
        </is>
      </c>
      <c r="E8" s="6" t="inlineStr">
        <is>
          <t>Lux / Α' Θέση (Μονόκλινο/Σουίτα)</t>
        </is>
      </c>
      <c r="F8" s="6" t="inlineStr">
        <is>
          <t>Κορυφαία κάλυψη VIP, 100% έξοδα νοσηλείας, Πλήρης κάλυψη ρομποτικής χειρουργικής, Ειδικά μοσχεύματα, Προηγμένες θεραπείες καρκίνου &amp; βιολογικοί παράγοντες, Αποκατάσταση μαστού μετά από μαστεκτομή, Επίδομα μη χρήσης ασφαλιστηρίου έως €1.500, Ψυχολογική υποστήριξη.</t>
        </is>
      </c>
      <c r="G8" s="6" t="inlineStr">
        <is>
          <t>Πλήρης παγκόσμια κάλυψη 100% (και σε ΗΠΑ/Καναδά). Ειδική γραμμή υγείας ERGO 24/7.</t>
        </is>
      </c>
    </row>
    <row r="9" ht="45" customHeight="1">
      <c r="A9" s="7" t="inlineStr">
        <is>
          <t>ERGO Best Health</t>
        </is>
      </c>
      <c r="B9" s="7" t="inlineStr">
        <is>
          <t>020119 - 021619</t>
        </is>
      </c>
      <c r="C9" s="8" t="inlineStr">
        <is>
          <t>€ 300,000 - € 600,000</t>
        </is>
      </c>
      <c r="D9" s="8" t="inlineStr">
        <is>
          <t>€ 0 / € 500 / € 1,500</t>
        </is>
      </c>
      <c r="E9" s="8" t="inlineStr">
        <is>
          <t>Β' / Α' Θέση</t>
        </is>
      </c>
      <c r="F9" s="8" t="inlineStr">
        <is>
          <t>Συνδυαστικό πρόγραμμα νοσοκομειακής &amp; εξωνοσοκομειακής προστασίας με προνομιακή τιμολόγηση. Περιλαμβάνει κάλυψη εξόδων νοσηλείας και πρωτοβάθμιας περίθαλψης.</t>
        </is>
      </c>
      <c r="G9" s="8" t="inlineStr">
        <is>
          <t>Ισχύει σε πανελλαδικό δίκτυο συμβεβλημένων κλινικών.</t>
        </is>
      </c>
    </row>
    <row r="10" ht="45" customHeight="1">
      <c r="A10" s="5" t="inlineStr">
        <is>
          <t>ERGO Affidea &amp; Εξωνοσοκομειακά / Διαγνωστικά</t>
        </is>
      </c>
      <c r="B10" s="5" t="inlineStr">
        <is>
          <t>020121, 020221, 021722</t>
        </is>
      </c>
      <c r="C10" s="6" t="inlineStr">
        <is>
          <t>Απεριόριστες Επισκέψεις &amp; Εξετάσεις</t>
        </is>
      </c>
      <c r="D10" s="6" t="inlineStr">
        <is>
          <t>€ 0 (Μηδενική Απαλλαγή)</t>
        </is>
      </c>
      <c r="E10" s="6" t="inlineStr">
        <is>
          <t>Εξωτερικά Ιατρεία / Διαγνωστικά Κέντρα</t>
        </is>
      </c>
      <c r="F10" s="6" t="inlineStr">
        <is>
          <t>Απεριόριστες διαγνωστικές εξετάσεις σε δίκτυο Affidea / Medisystem, Ετήσιο προληπτικό Check-Up (πλήρες), Απεριόριστες επισκέψεις σε ιατρούς βασικών ειδικοτήτων (Παθολόγος, Καρδιολόγος, Χειρουργός, Ορθοπεδικός, Οφθαλμίατρος), Έκπτωση σε φυσικοθεραπείες και οδοντιατρικές πράξεις.</t>
        </is>
      </c>
      <c r="G10" s="6" t="inlineStr">
        <is>
          <t>Άμεση πρόσβαση χωρίς παραπεμπτικό ΕΟΠΥΥ ή με χρήση ΕΟΠΥΥ για μηδενική συμμετοχή.</t>
        </is>
      </c>
    </row>
    <row r="11"/>
    <row r="12"/>
    <row r="13">
      <c r="A13" s="3" t="inlineStr">
        <is>
          <t>2. ΠΡΟΓΡΑΜΜΑΤΑ ΑΣΦΑΛΙΣΗΣ ΖΩΗΣ &amp; ΣΥΜΠΛΗΡΩΜΑΤΙΚΕΣ ΚΑΛΥΨΕΙΣ (LIFE)</t>
        </is>
      </c>
    </row>
    <row r="14" ht="26" customHeight="1">
      <c r="A14" s="4" t="inlineStr">
        <is>
          <t>Πρόγραμμα / Κάλυψη Ζωής</t>
        </is>
      </c>
      <c r="B14" s="4" t="inlineStr">
        <is>
          <t>Κωδικός Κάλυψης</t>
        </is>
      </c>
      <c r="C14" s="4" t="inlineStr">
        <is>
          <t>Φύση Κάλυψης</t>
        </is>
      </c>
      <c r="D14" s="4" t="inlineStr">
        <is>
          <t>Εύρος Ασφαλισμένου Κεφαλαίου (€)</t>
        </is>
      </c>
      <c r="E14" s="4" t="inlineStr">
        <is>
          <t>Ηλικίες Εισόδου / Λήξης</t>
        </is>
      </c>
      <c r="F14" s="4" t="inlineStr">
        <is>
          <t>Παροχή &amp; Τρόπος Καταβολής</t>
        </is>
      </c>
      <c r="G14" s="4" t="inlineStr">
        <is>
          <t>Ειδικοί Όροι &amp; Συνδυασμοί</t>
        </is>
      </c>
    </row>
    <row r="15" ht="36" customHeight="1">
      <c r="A15" s="7" t="inlineStr">
        <is>
          <t>Βασική Ασφάλιση Ζωής (Ισόβια)</t>
        </is>
      </c>
      <c r="B15" s="7" t="inlineStr">
        <is>
          <t>110118</t>
        </is>
      </c>
      <c r="C15" s="8" t="inlineStr">
        <is>
          <t>Βασική Ασφάλιση Ζωής</t>
        </is>
      </c>
      <c r="D15" s="8" t="inlineStr">
        <is>
          <t>€ 10,000 έως € 1,000,000+</t>
        </is>
      </c>
      <c r="E15" s="8" t="inlineStr">
        <is>
          <t>18 - 65 ετών / Ισόβια</t>
        </is>
      </c>
      <c r="F15" s="8" t="inlineStr">
        <is>
          <t>Καταβολή του ασφαλισμένου κεφαλαίου στους ορισθέντες δικαιούχους σε περίπτωση απώλειας ζωής του ασφαλισμένου από οποιαδήποτε αιτία (ασθένεια ή ατύχημα).</t>
        </is>
      </c>
      <c r="G15" s="8" t="inlineStr">
        <is>
          <t>Απαλλαγμένο από φόρο κληρονομιάς. Δυνατότητα προσθήκης συμπληρωματικών καλύψεων.</t>
        </is>
      </c>
    </row>
    <row r="16" ht="36" customHeight="1">
      <c r="A16" s="5" t="inlineStr">
        <is>
          <t>Πρόσκαιρη Ασφάλιση Ζωής (Term Life)</t>
        </is>
      </c>
      <c r="B16" s="5" t="inlineStr">
        <is>
          <t>110218, 110318</t>
        </is>
      </c>
      <c r="C16" s="6" t="inlineStr">
        <is>
          <t>Πρόσκαιρη Ασφάλιση Ορισμένης Διάρκειας</t>
        </is>
      </c>
      <c r="D16" s="6" t="inlineStr">
        <is>
          <t>€ 15,000 έως € 2,000,000+</t>
        </is>
      </c>
      <c r="E16" s="6" t="inlineStr">
        <is>
          <t>18 - 65 ετών / Έως 75 ετών</t>
        </is>
      </c>
      <c r="F16" s="6" t="inlineStr">
        <is>
          <t>Καταβολή κεφαλαίου σε περίπτωση θανάτου κατά τη διάρκεια της ασφαλιστικής περιόδου (π.χ. 10, 15, 20, 25 έτη ή κάλυψη δανείου).</t>
        </is>
      </c>
      <c r="G16" s="6" t="inlineStr">
        <is>
          <t>Χαμηλό κόστος ασφαλίστρου. Ιδανικό για κάλυψη στεγαστικών δανείων και προστασία οικογένειας.</t>
        </is>
      </c>
    </row>
    <row r="17" ht="36" customHeight="1">
      <c r="A17" s="7" t="inlineStr">
        <is>
          <t>Θάνατος από Ατύχημα (ΘΑ)</t>
        </is>
      </c>
      <c r="B17" s="7" t="inlineStr">
        <is>
          <t>130118</t>
        </is>
      </c>
      <c r="C17" s="8" t="inlineStr">
        <is>
          <t>Συμπληρωματική Κάλυψη Ατυχήματος</t>
        </is>
      </c>
      <c r="D17" s="8" t="inlineStr">
        <is>
          <t>€ 10,000 έως € 500,000</t>
        </is>
      </c>
      <c r="E17" s="8" t="inlineStr">
        <is>
          <t>18 - 65 ετών / Έως 70 ετών</t>
        </is>
      </c>
      <c r="F17" s="8" t="inlineStr">
        <is>
          <t>Καταβολή επιπλέον κεφαλαίου στους δικαιούχους σε περίπτωση απώλειας ζωής αποκλειστικά από ατύχημα (διπλασιασμός κεφαλαίου αν συνδυάζεται με βασική ζωή).</t>
        </is>
      </c>
      <c r="G17" s="8" t="inlineStr">
        <is>
          <t>Άμεση καταβολή χωρίς αναμονές.</t>
        </is>
      </c>
    </row>
    <row r="18" ht="36" customHeight="1">
      <c r="A18" s="5" t="inlineStr">
        <is>
          <t>Μόνιμη Ολική / Μερική Ανικανότητα (ΜΟΑ / ΜΜΑ)</t>
        </is>
      </c>
      <c r="B18" s="5" t="inlineStr">
        <is>
          <t>130218</t>
        </is>
      </c>
      <c r="C18" s="6" t="inlineStr">
        <is>
          <t>Συμπληρωματική Κάλυψη Ανικανότητας</t>
        </is>
      </c>
      <c r="D18" s="6" t="inlineStr">
        <is>
          <t>€ 10,000 έως € 500,000</t>
        </is>
      </c>
      <c r="E18" s="6" t="inlineStr">
        <is>
          <t>18 - 60 ετών / Έως 65 ετών</t>
        </is>
      </c>
      <c r="F18" s="6" t="inlineStr">
        <is>
          <t>Καταβολή εφάπαξ ποσού ανάλογα με το ποσοστό ανικανότητας (πίνακας Continental Scale) σε περίπτωση ανικανότητας για εργασία από ατύχημα.</t>
        </is>
      </c>
      <c r="G18" s="6" t="inlineStr">
        <is>
          <t>Προστασία εισοδήματος και επαγγελματικής ικανότητας.</t>
        </is>
      </c>
    </row>
    <row r="19" ht="36" customHeight="1">
      <c r="A19" s="7" t="inlineStr">
        <is>
          <t>Απώλεια Εισοδήματος από Ατύχημα ή Ασθένεια</t>
        </is>
      </c>
      <c r="B19" s="7" t="inlineStr">
        <is>
          <t>130318</t>
        </is>
      </c>
      <c r="C19" s="8" t="inlineStr">
        <is>
          <t>Μηνιαίο Επίδομα</t>
        </is>
      </c>
      <c r="D19" s="8" t="inlineStr">
        <is>
          <t>€ 500 έως € 3,000 / μήνα</t>
        </is>
      </c>
      <c r="E19" s="8" t="inlineStr">
        <is>
          <t>18 - 60 ετών / Έως 65 ετών</t>
        </is>
      </c>
      <c r="F19" s="8" t="inlineStr">
        <is>
          <t>Καταβολή μηνιαίου επιδόματος για όσο διάστημα ο ασφαλισμένος αδυνατεί να ασκήσει το επάγγελμά του (έως 12 ή 24 μήνες).</t>
        </is>
      </c>
      <c r="G19" s="8" t="inlineStr">
        <is>
          <t>Απαραίτητο για ελεύθερους επαγγελματίες και αυτοαπασχολούμενους.</t>
        </is>
      </c>
    </row>
    <row r="20" ht="36" customHeight="1">
      <c r="A20" s="5" t="inlineStr">
        <is>
          <t>Απαλλαγή Πληρωμής Ασφαλίστρων (ΑΠΑ)</t>
        </is>
      </c>
      <c r="B20" s="5" t="inlineStr">
        <is>
          <t>110418</t>
        </is>
      </c>
      <c r="C20" s="6" t="inlineStr">
        <is>
          <t>Προστασία Συμβολαίου</t>
        </is>
      </c>
      <c r="D20" s="6" t="inlineStr">
        <is>
          <t>Ισόποσο με το Ετήσιο Ασφάλιστρο</t>
        </is>
      </c>
      <c r="E20" s="6" t="inlineStr">
        <is>
          <t>18 - 55 ετών / Έως 65 ετών</t>
        </is>
      </c>
      <c r="F20" s="6" t="inlineStr">
        <is>
          <t>Σε περίπτωση Μόνιμης Ολικής Ανικανότητας του συμβαλλομένου, η ERGO αναλαμβάνει την πληρωμή όλων των μελλοντικών ασφαλίστρων του συμβολαίου.</t>
        </is>
      </c>
      <c r="G20" s="6" t="inlineStr">
        <is>
          <t>Διασφαλίζει ότι το συμβόλαιο υγείας και αποταμίευσης παραμένει σε πλήρη ισχύ.</t>
        </is>
      </c>
    </row>
    <row r="21"/>
    <row r="22"/>
    <row r="23">
      <c r="A23" s="3" t="inlineStr">
        <is>
          <t>3. ΟΜΑΔΙΚΑ ΠΡΟΓΡΑΜΜΑΤΑ &amp; ΑΠΟΤΑΜΙΕΥΤΙΚΑ / ΕΠΕΝΔΥΤΙΚΑ (GROUP &amp; SAVINGS)</t>
        </is>
      </c>
    </row>
    <row r="24" ht="26" customHeight="1">
      <c r="A24" s="9" t="inlineStr">
        <is>
          <t>Κατηγορία / Προϊόν</t>
        </is>
      </c>
      <c r="B24" s="9" t="inlineStr">
        <is>
          <t>Κωδικός Προγράμματος</t>
        </is>
      </c>
      <c r="C24" s="9" t="inlineStr">
        <is>
          <t>Τύπος Προγράμματος</t>
        </is>
      </c>
      <c r="D24" s="9" t="inlineStr">
        <is>
          <t>Ελάχιστη Καταβολή / Κεφάλαιο</t>
        </is>
      </c>
      <c r="E24" s="9" t="inlineStr">
        <is>
          <t>Καλύψεις &amp; Παροχές</t>
        </is>
      </c>
      <c r="F24" s="9" t="inlineStr">
        <is>
          <t>Επενδυτική Πολιτική / Εγγύηση</t>
        </is>
      </c>
      <c r="G24" s="9" t="inlineStr">
        <is>
          <t>Προμήθεια Παραγωγού</t>
        </is>
      </c>
    </row>
    <row r="25" ht="36" customHeight="1">
      <c r="A25" s="7" t="inlineStr">
        <is>
          <t>Ομαδική Ασφάλιση Προσωπικού (ERGO MY PEOPLE)</t>
        </is>
      </c>
      <c r="B25" s="7" t="inlineStr">
        <is>
          <t>Group Life &amp; Health</t>
        </is>
      </c>
      <c r="C25" s="8" t="inlineStr">
        <is>
          <t>Ομαδικό Συμβόλαιο Επιχειρήσεων</t>
        </is>
      </c>
      <c r="D25" s="8" t="inlineStr">
        <is>
          <t>Ελάχιστο 5 ασφαλισμένοι</t>
        </is>
      </c>
      <c r="E25" s="8" t="inlineStr">
        <is>
          <t>Κάλυψη Απώλειας Ζωής, Μόνιμης Ανικανότητας, Νοσοκομειακής Περίθαλψης, Εξωνοσοκομειακών εξετάσεων, Check-up, Επίδομα μητρότητας.</t>
        </is>
      </c>
      <c r="F25" s="8" t="inlineStr">
        <is>
          <t>Ετήσιο ανανεούμενο συμβόλαιο με φορολογική έκπτωση 100% για την επιχείρηση.</t>
        </is>
      </c>
      <c r="G25" s="8" t="inlineStr">
        <is>
          <t>8.00% - 15.00% επί των καθαρών ασφαλίστρων.</t>
        </is>
      </c>
    </row>
    <row r="26" ht="36" customHeight="1">
      <c r="A26" s="5" t="inlineStr">
        <is>
          <t>ERGO My Saving Simple</t>
        </is>
      </c>
      <c r="B26" s="5" t="inlineStr">
        <is>
          <t>990119, 990219</t>
        </is>
      </c>
      <c r="C26" s="6" t="inlineStr">
        <is>
          <t>Εγγυημένο Αποταμιευτικό Πρόγραμμα</t>
        </is>
      </c>
      <c r="D26" s="6" t="inlineStr">
        <is>
          <t>Ελάχιστο €50 / μήνα (€600 / έτος)</t>
        </is>
      </c>
      <c r="E26" s="6" t="inlineStr">
        <is>
          <t>Εγγυημένο κεφάλαιο στη λήξη, Εγγυημένη ελάχιστη απόδοση, Προστασία κεφαλαίου 100%, Δυνατότητα έκτακτων καταβολών, Δικαίωμα εξαγοράς μετά το 2ο έτος.</t>
        </is>
      </c>
      <c r="F26" s="6" t="inlineStr">
        <is>
          <t>Επενδύσεις χαμηλού ρίσκου σε ομόλογα υψηλής διαβάθμισης με εγγυημένο επιτόκιο.</t>
        </is>
      </c>
      <c r="G26" s="6" t="inlineStr">
        <is>
          <t>14.58% - 17.50% (1ο έτος), 6.67% - 8.00% (2ο), 4.17% - 5.00% (3ο).</t>
        </is>
      </c>
    </row>
    <row r="27" ht="36" customHeight="1">
      <c r="A27" s="7" t="inlineStr">
        <is>
          <t>ERGO My Fund Flex Plan (Unit Linked)</t>
        </is>
      </c>
      <c r="B27" s="7" t="inlineStr">
        <is>
          <t>030122</t>
        </is>
      </c>
      <c r="C27" s="8" t="inlineStr">
        <is>
          <t>Επενδυτικό Τακτικών Καταβολών</t>
        </is>
      </c>
      <c r="D27" s="8" t="inlineStr">
        <is>
          <t>Ελάχιστο €40 / μήνα (€480 / έτος)</t>
        </is>
      </c>
      <c r="E27" s="8" t="inlineStr">
        <is>
          <t>Δημιουργία κεφαλαίου μέσω επένδυσης σε κορυφαία διεθνή αμοιβαία κεφάλαια (MEAG / Munich Re Group), Ευελιξία αλλαγής επενδυτικού προφίλ, Έκτακτες καταβολές.</t>
        </is>
      </c>
      <c r="F27" s="8" t="inlineStr">
        <is>
          <t>Επιλογή προφίλ: Συντηρητικό, Ισορροπημένο, Δυναμικό. Σύνδεση με διεθνείς αγορές.</t>
        </is>
      </c>
      <c r="G27" s="8" t="inlineStr">
        <is>
          <t>18.33% - 26.50% (1ο έτος), 6.67% - 18.00% (2ο), 1.67% - 4.00% (3ο).</t>
        </is>
      </c>
    </row>
    <row r="28" ht="36" customHeight="1">
      <c r="A28" s="5" t="inlineStr">
        <is>
          <t>ERGO My Fund Invest Plan (Single Premium)</t>
        </is>
      </c>
      <c r="B28" s="5" t="inlineStr">
        <is>
          <t>030222</t>
        </is>
      </c>
      <c r="C28" s="6" t="inlineStr">
        <is>
          <t>Επενδυτικό Εφάπαξ Καταβολής</t>
        </is>
      </c>
      <c r="D28" s="6" t="inlineStr">
        <is>
          <t>Ελάχιστο €4,000 εφάπαξ</t>
        </is>
      </c>
      <c r="E28" s="6" t="inlineStr">
        <is>
          <t>Επένδυση κεφαλαίου σε παγκόσμια χαρτοφυλάκια της Munich Re με ευελιξία μερικής ή ολικής ρευστοποίησης, φορολογικά πλεονεκτήματα ασφαλιστηρίου.</t>
        </is>
      </c>
      <c r="F28" s="6" t="inlineStr">
        <is>
          <t>Διαχείριση από την MEAG (Asset Manager της Munich Re &amp; ERGO).</t>
        </is>
      </c>
      <c r="G28" s="6" t="inlineStr">
        <is>
          <t>1.17% - 1.70% εφάπαξ προμήθεια.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54" customWidth="1" min="3" max="3"/>
    <col width="60" customWidth="1" min="4" max="4"/>
    <col width="60" customWidth="1" min="5" max="5"/>
    <col width="60" customWidth="1" min="6" max="6"/>
    <col width="21" customWidth="1" min="7" max="7"/>
    <col width="22" customWidth="1" min="8" max="8"/>
  </cols>
  <sheetData>
    <row r="1">
      <c r="A1" s="1" t="inlineStr">
        <is>
          <t>ΕΠΙΣΗΜΟΙ ΠΙΝΑΚΕΣ ΠΡΟΜΗΘΕΙΩΝ, ΥΠΕΡΠΡΟΜΗΘΕΙΩΝ ΔΙΚΤΥΟΥ &amp; BONUS ERGO (ΔΑΣ)</t>
        </is>
      </c>
    </row>
    <row r="2">
      <c r="A2" s="2" t="inlineStr">
        <is>
          <t>Πλήρης Ανάλυση Κανονισμού Πωλήσεων: Βαθμίδες Συνεργατών Α/Β/Γ, Προμήθειες 1ου Έτους &amp; Ανανεώσεων, Υπερπρομήθειες Agency 1411 (LANCA Ε.Ε.) &amp; Bonus</t>
        </is>
      </c>
    </row>
    <row r="3"/>
    <row r="4">
      <c r="A4" s="3" t="inlineStr">
        <is>
          <t>Α. ΚΑΤΗΓΟΡΙΕΣ &amp; ΚΡΙΤΗΡΙΑ ΕΝΤΑΞΗΣ ΣΥΝΕΡΓΑΤΩΝ (PARTNER TIERS)</t>
        </is>
      </c>
    </row>
    <row r="5" ht="24" customHeight="1">
      <c r="A5" s="4" t="inlineStr">
        <is>
          <t>Κατηγορία Συνεργάτη</t>
        </is>
      </c>
      <c r="B5" s="4" t="inlineStr">
        <is>
          <t>Όριο Νέας Ετήσιας Παραγωγής Καθαρών (€)</t>
        </is>
      </c>
      <c r="C5" s="4" t="inlineStr">
        <is>
          <t>Όριο Συνολικού Χαρτοφυλακίου (€)</t>
        </is>
      </c>
      <c r="D5" s="4" t="inlineStr">
        <is>
          <t>Συντελεστής Επίδοσης</t>
        </is>
      </c>
      <c r="E5" s="4" t="inlineStr">
        <is>
          <t>Προνόμια &amp; Κλίμακα</t>
        </is>
      </c>
    </row>
    <row r="6" ht="22" customHeight="1">
      <c r="A6" s="7" t="inlineStr">
        <is>
          <t>Κατηγορία Α (Category A)</t>
        </is>
      </c>
      <c r="B6" s="11" t="inlineStr">
        <is>
          <t>Έως € 10,000</t>
        </is>
      </c>
      <c r="C6" s="11" t="inlineStr">
        <is>
          <t>Έως € 50,000</t>
        </is>
      </c>
      <c r="D6" s="11" t="inlineStr">
        <is>
          <t>1.00x (Βασική Κλίμακα)</t>
        </is>
      </c>
      <c r="E6" s="8" t="inlineStr">
        <is>
          <t>Βασικοί συντελεστές προμηθειών 1ου έτους και ανανεώσεων.</t>
        </is>
      </c>
    </row>
    <row r="7" ht="22" customHeight="1">
      <c r="A7" s="7" t="inlineStr">
        <is>
          <t>Κατηγορία Β (Category B)</t>
        </is>
      </c>
      <c r="B7" s="11" t="inlineStr">
        <is>
          <t>€ 10,001 έως € 20,000</t>
        </is>
      </c>
      <c r="C7" s="11" t="inlineStr">
        <is>
          <t>€ 50,001 έως € 100,000</t>
        </is>
      </c>
      <c r="D7" s="11" t="inlineStr">
        <is>
          <t>1.10x (+10% Προσαύξηση)</t>
        </is>
      </c>
      <c r="E7" s="8" t="inlineStr">
        <is>
          <t>Αυξημένες προμήθειες 1ου έτους (+10% σε σχέση με την Κατ. Α) &amp; αυξημένες ανανεώσεις.</t>
        </is>
      </c>
    </row>
    <row r="8" ht="22" customHeight="1">
      <c r="A8" s="7" t="inlineStr">
        <is>
          <t>Κατηγορία Γ (Category C)</t>
        </is>
      </c>
      <c r="B8" s="11" t="inlineStr">
        <is>
          <t>Άνω των € 20,000</t>
        </is>
      </c>
      <c r="C8" s="11" t="inlineStr">
        <is>
          <t>Άνω των € 100,000</t>
        </is>
      </c>
      <c r="D8" s="11" t="inlineStr">
        <is>
          <t>1.20x (+20% Προσαύξηση)</t>
        </is>
      </c>
      <c r="E8" s="8" t="inlineStr">
        <is>
          <t>Μέγιστη κλίμακα προμηθειών 1ου έτους (+20% σε σχέση με την Κατ. Α), μέγιστες ανανεώσεις και επιπλέον Bonus.</t>
        </is>
      </c>
    </row>
    <row r="9"/>
    <row r="10"/>
    <row r="11">
      <c r="A11" s="3" t="inlineStr">
        <is>
          <t>Β. ΠΙΝΑΚΑΣ ΠΡΟΜΗΘΕΙΩΝ ΠΑΡΑΓΩΓΟΥ ΑΝΑ ΚΛΑΔΟ &amp; ΕΤΟΣ ΣΥΜΒΟΛΑΙΟΥ (% επί Καθαρών Ασφαλίστρων)</t>
        </is>
      </c>
    </row>
    <row r="12" ht="26" customHeight="1">
      <c r="A12" s="10" t="inlineStr">
        <is>
          <t>Κλάδος / Ασφαλιστικό Πρόγραμμα</t>
        </is>
      </c>
      <c r="B12" s="10" t="inlineStr">
        <is>
          <t>Κωδικός</t>
        </is>
      </c>
      <c r="C12" s="10" t="inlineStr">
        <is>
          <t>1ο Έτος (Κατ. Α)</t>
        </is>
      </c>
      <c r="D12" s="10" t="inlineStr">
        <is>
          <t>1ο Έτος (Κατ. Β)</t>
        </is>
      </c>
      <c r="E12" s="10" t="inlineStr">
        <is>
          <t>1ο Έτος (Κατ. Γ)</t>
        </is>
      </c>
      <c r="F12" s="10" t="inlineStr">
        <is>
          <t>2ο Έτος (Ανανέωση)</t>
        </is>
      </c>
      <c r="G12" s="10" t="inlineStr">
        <is>
          <t>3ο Έτος (Ανανέωση)</t>
        </is>
      </c>
      <c r="H12" s="10" t="inlineStr">
        <is>
          <t>4ο+ Έτος (Ανανέωση)</t>
        </is>
      </c>
    </row>
    <row r="13" ht="22" customHeight="1">
      <c r="A13" s="7" t="inlineStr">
        <is>
          <t>ERGO Health Care (Simple, Advanced, Superior)</t>
        </is>
      </c>
      <c r="B13" s="11" t="inlineStr">
        <is>
          <t>020118-021118</t>
        </is>
      </c>
      <c r="C13" s="12" t="n">
        <v>0.29</v>
      </c>
      <c r="D13" s="12" t="n">
        <v>0.319</v>
      </c>
      <c r="E13" s="12" t="n">
        <v>0.348</v>
      </c>
      <c r="F13" s="12" t="n">
        <v>0.25</v>
      </c>
      <c r="G13" s="12" t="n">
        <v>0.25</v>
      </c>
      <c r="H13" s="12" t="n">
        <v>0.25</v>
      </c>
    </row>
    <row r="14" ht="22" customHeight="1">
      <c r="A14" s="5" t="inlineStr">
        <is>
          <t>ERGO Best Health</t>
        </is>
      </c>
      <c r="B14" s="13" t="inlineStr">
        <is>
          <t>020119-021619</t>
        </is>
      </c>
      <c r="C14" s="14" t="n">
        <v>0.26</v>
      </c>
      <c r="D14" s="14" t="n">
        <v>0.286</v>
      </c>
      <c r="E14" s="14" t="n">
        <v>0.312</v>
      </c>
      <c r="F14" s="14" t="n">
        <v>0.23</v>
      </c>
      <c r="G14" s="14" t="n">
        <v>0.23</v>
      </c>
      <c r="H14" s="14" t="n">
        <v>0.23</v>
      </c>
    </row>
    <row r="15" ht="22" customHeight="1">
      <c r="A15" s="7" t="inlineStr">
        <is>
          <t>Affidea / Εξωνοσοκομειακά / Διαγνωστικά</t>
        </is>
      </c>
      <c r="B15" s="11" t="inlineStr">
        <is>
          <t>020121-020221</t>
        </is>
      </c>
      <c r="C15" s="12" t="n">
        <v>0.27</v>
      </c>
      <c r="D15" s="12" t="n">
        <v>0.29</v>
      </c>
      <c r="E15" s="12" t="n">
        <v>0.31</v>
      </c>
      <c r="F15" s="12" t="n">
        <v>0.27</v>
      </c>
      <c r="G15" s="12" t="n">
        <v>0.27</v>
      </c>
      <c r="H15" s="12" t="n">
        <v>0.27</v>
      </c>
    </row>
    <row r="16" ht="22" customHeight="1">
      <c r="A16" s="5" t="inlineStr">
        <is>
          <t>ERGO Διαγνωστικό</t>
        </is>
      </c>
      <c r="B16" s="13" t="inlineStr">
        <is>
          <t>021722-021822</t>
        </is>
      </c>
      <c r="C16" s="14" t="n">
        <v>0.3</v>
      </c>
      <c r="D16" s="14" t="n">
        <v>0.33</v>
      </c>
      <c r="E16" s="14" t="n">
        <v>0.36</v>
      </c>
      <c r="F16" s="14" t="n">
        <v>0.3</v>
      </c>
      <c r="G16" s="14" t="n">
        <v>0.3</v>
      </c>
      <c r="H16" s="14" t="n">
        <v>0.3</v>
      </c>
    </row>
    <row r="17" ht="22" customHeight="1">
      <c r="A17" s="7" t="inlineStr">
        <is>
          <t>Ισόβια / Πρόσκαιρη Ασφάλιση Ζωής</t>
        </is>
      </c>
      <c r="B17" s="11" t="inlineStr">
        <is>
          <t>110118-110218</t>
        </is>
      </c>
      <c r="C17" s="12" t="n">
        <v>0.5</v>
      </c>
      <c r="D17" s="12" t="n">
        <v>0.55</v>
      </c>
      <c r="E17" s="12" t="n">
        <v>0.6</v>
      </c>
      <c r="F17" s="12" t="n">
        <v>0.15</v>
      </c>
      <c r="G17" s="12" t="n">
        <v>0.08</v>
      </c>
      <c r="H17" s="12" t="n">
        <v>0.05</v>
      </c>
    </row>
    <row r="18" ht="22" customHeight="1">
      <c r="A18" s="5" t="inlineStr">
        <is>
          <t>Ασφάλιση Ζωής (Standard)</t>
        </is>
      </c>
      <c r="B18" s="13" t="inlineStr">
        <is>
          <t>110318</t>
        </is>
      </c>
      <c r="C18" s="14" t="n">
        <v>0.25</v>
      </c>
      <c r="D18" s="14" t="n">
        <v>0.275</v>
      </c>
      <c r="E18" s="14" t="n">
        <v>0.3</v>
      </c>
      <c r="F18" s="14" t="n">
        <v>0.2</v>
      </c>
      <c r="G18" s="14" t="n">
        <v>0.12</v>
      </c>
      <c r="H18" s="14" t="n">
        <v>0.06</v>
      </c>
    </row>
    <row r="19" ht="22" customHeight="1">
      <c r="A19" s="7" t="inlineStr">
        <is>
          <t>Θάνατος από Ατύχημα (ΘΑ)</t>
        </is>
      </c>
      <c r="B19" s="11" t="inlineStr">
        <is>
          <t>130118</t>
        </is>
      </c>
      <c r="C19" s="12" t="n">
        <v>0.3</v>
      </c>
      <c r="D19" s="12" t="n">
        <v>0.33</v>
      </c>
      <c r="E19" s="12" t="n">
        <v>0.36</v>
      </c>
      <c r="F19" s="12" t="n">
        <v>0.3</v>
      </c>
      <c r="G19" s="12" t="n">
        <v>0.3</v>
      </c>
      <c r="H19" s="12" t="n">
        <v>0.3</v>
      </c>
    </row>
    <row r="20" ht="22" customHeight="1">
      <c r="A20" s="5" t="inlineStr">
        <is>
          <t>Μόνιμη Ολική / Μερική Ανικανότητα (ΜΟΑ)</t>
        </is>
      </c>
      <c r="B20" s="13" t="inlineStr">
        <is>
          <t>130218</t>
        </is>
      </c>
      <c r="C20" s="14" t="n">
        <v>0.275</v>
      </c>
      <c r="D20" s="14" t="n">
        <v>0.303</v>
      </c>
      <c r="E20" s="14" t="n">
        <v>0.33</v>
      </c>
      <c r="F20" s="14" t="n">
        <v>0.275</v>
      </c>
      <c r="G20" s="14" t="n">
        <v>0.275</v>
      </c>
      <c r="H20" s="14" t="n">
        <v>0.275</v>
      </c>
    </row>
    <row r="21" ht="22" customHeight="1">
      <c r="A21" s="7" t="inlineStr">
        <is>
          <t>Απώλεια Εισοδήματος από Ατύχημα</t>
        </is>
      </c>
      <c r="B21" s="11" t="inlineStr">
        <is>
          <t>130318</t>
        </is>
      </c>
      <c r="C21" s="12" t="n">
        <v>0.3</v>
      </c>
      <c r="D21" s="12" t="n">
        <v>0.33</v>
      </c>
      <c r="E21" s="12" t="n">
        <v>0.36</v>
      </c>
      <c r="F21" s="12" t="n">
        <v>0.3</v>
      </c>
      <c r="G21" s="12" t="n">
        <v>0.3</v>
      </c>
      <c r="H21" s="12" t="n">
        <v>0.3</v>
      </c>
    </row>
    <row r="22" ht="22" customHeight="1">
      <c r="A22" s="5" t="inlineStr">
        <is>
          <t>Ιατροφαρμακευτικά Έξοδα Ατυχήματος</t>
        </is>
      </c>
      <c r="B22" s="13" t="inlineStr">
        <is>
          <t>130418</t>
        </is>
      </c>
      <c r="C22" s="14" t="n">
        <v>0.3</v>
      </c>
      <c r="D22" s="14" t="n">
        <v>0.33</v>
      </c>
      <c r="E22" s="14" t="n">
        <v>0.36</v>
      </c>
      <c r="F22" s="14" t="n">
        <v>0.3</v>
      </c>
      <c r="G22" s="14" t="n">
        <v>0.3</v>
      </c>
      <c r="H22" s="14" t="n">
        <v>0.3</v>
      </c>
    </row>
    <row r="23" ht="22" customHeight="1">
      <c r="A23" s="7" t="inlineStr">
        <is>
          <t>Απαλλαγή Πληρωμής Ασφαλίστρων (ΑΠΑ)</t>
        </is>
      </c>
      <c r="B23" s="11" t="inlineStr">
        <is>
          <t>110418</t>
        </is>
      </c>
      <c r="C23" s="12" t="n">
        <v>0.25</v>
      </c>
      <c r="D23" s="12" t="n">
        <v>0.275</v>
      </c>
      <c r="E23" s="12" t="n">
        <v>0.305</v>
      </c>
      <c r="F23" s="12" t="n">
        <v>0.2</v>
      </c>
      <c r="G23" s="12" t="n">
        <v>0.12</v>
      </c>
      <c r="H23" s="12" t="n">
        <v>0.06</v>
      </c>
    </row>
    <row r="24" ht="22" customHeight="1">
      <c r="A24" s="5" t="inlineStr">
        <is>
          <t>ERGO My Saving Simple (Αποταμίευση)</t>
        </is>
      </c>
      <c r="B24" s="13" t="inlineStr">
        <is>
          <t>990119-990219</t>
        </is>
      </c>
      <c r="C24" s="14" t="n">
        <v>0.1458</v>
      </c>
      <c r="D24" s="14" t="n">
        <v>0.1604</v>
      </c>
      <c r="E24" s="14" t="n">
        <v>0.175</v>
      </c>
      <c r="F24" s="14" t="n">
        <v>0.0667</v>
      </c>
      <c r="G24" s="14" t="n">
        <v>0.0417</v>
      </c>
      <c r="H24" s="14" t="n">
        <v>0</v>
      </c>
    </row>
    <row r="25" ht="22" customHeight="1">
      <c r="A25" s="7" t="inlineStr">
        <is>
          <t>ERGO My Fund Flex Plan (Unit Linked €480-€750)</t>
        </is>
      </c>
      <c r="B25" s="11" t="inlineStr">
        <is>
          <t>030122</t>
        </is>
      </c>
      <c r="C25" s="12" t="n">
        <v>0.2208</v>
      </c>
      <c r="D25" s="12" t="n">
        <v>0.2429</v>
      </c>
      <c r="E25" s="12" t="n">
        <v>0.265</v>
      </c>
      <c r="F25" s="12" t="n">
        <v>0.15</v>
      </c>
      <c r="G25" s="12" t="n">
        <v>0.0333</v>
      </c>
      <c r="H25" s="12" t="n">
        <v>0</v>
      </c>
    </row>
    <row r="26" ht="22" customHeight="1">
      <c r="A26" s="5" t="inlineStr">
        <is>
          <t>ERGO My Fund Flex Plan (Unit Linked €750-€1500)</t>
        </is>
      </c>
      <c r="B26" s="13" t="inlineStr">
        <is>
          <t>030122</t>
        </is>
      </c>
      <c r="C26" s="14" t="n">
        <v>0.1833</v>
      </c>
      <c r="D26" s="14" t="n">
        <v>0.2017</v>
      </c>
      <c r="E26" s="14" t="n">
        <v>0.22</v>
      </c>
      <c r="F26" s="14" t="n">
        <v>0.0667</v>
      </c>
      <c r="G26" s="14" t="n">
        <v>0.0167</v>
      </c>
      <c r="H26" s="14" t="n">
        <v>0</v>
      </c>
    </row>
    <row r="27" ht="22" customHeight="1">
      <c r="A27" s="7" t="inlineStr">
        <is>
          <t>Ομαδικά Ασφαλιστήρια (ERGO My People)</t>
        </is>
      </c>
      <c r="B27" s="11" t="inlineStr">
        <is>
          <t>Group</t>
        </is>
      </c>
      <c r="C27" s="12" t="n">
        <v>0.08</v>
      </c>
      <c r="D27" s="12" t="n">
        <v>0.1</v>
      </c>
      <c r="E27" s="12" t="n">
        <v>0.15</v>
      </c>
      <c r="F27" s="12" t="n">
        <v>0.08</v>
      </c>
      <c r="G27" s="12" t="n">
        <v>0.08</v>
      </c>
      <c r="H27" s="12" t="n">
        <v>0.08</v>
      </c>
    </row>
    <row r="28"/>
    <row r="29"/>
    <row r="30">
      <c r="A30" s="3" t="inlineStr">
        <is>
          <t>Γ. ΔΟΜΗ ΥΠΕΡΠΡΟΜΗΘΕΙΩΝ ΔΙΚΤΥΟΥ &amp; ΓΡΑΦΕΙΟΥ 1411 (LANCA Ε.Ε.)</t>
        </is>
      </c>
    </row>
    <row r="31" ht="26" customHeight="1">
      <c r="A31" s="9" t="inlineStr">
        <is>
          <t>Βαθμίδα Οργανωτικής Μονάδας</t>
        </is>
      </c>
      <c r="B31" s="9" t="inlineStr">
        <is>
          <t>Ποσοστό Υπερπρομήθειας (%)</t>
        </is>
      </c>
      <c r="C31" s="9" t="inlineStr">
        <is>
          <t>Βάση Υπολογισμού</t>
        </is>
      </c>
      <c r="D31" s="9" t="inlineStr">
        <is>
          <t>Ισοδύναμο % επί Καθαρών Ασφαλίστρων (Ενδεικτικά για Υγεία 29%)</t>
        </is>
      </c>
      <c r="E31" s="9" t="inlineStr">
        <is>
          <t>Δικαιούχος &amp; Τρόπος Απόδοσης</t>
        </is>
      </c>
      <c r="F31" s="9" t="inlineStr">
        <is>
          <t>Συμπεριφορά σε Υποκωδικό Συνεργάτη vs Direct Γραφείου 1411</t>
        </is>
      </c>
    </row>
    <row r="32" ht="36" customHeight="1">
      <c r="A32" s="5" t="inlineStr">
        <is>
          <t>Unit Manager (Ομαδάρχης)</t>
        </is>
      </c>
      <c r="B32" s="15" t="n">
        <v>0.1</v>
      </c>
      <c r="C32" s="6" t="inlineStr">
        <is>
          <t>Επί της Βασικής Προμήθειας Παραγωγού (PPO)</t>
        </is>
      </c>
      <c r="D32" s="6" t="inlineStr">
        <is>
          <t>2.90% επί των καθαρών ασφαλίστρων (10% * 29%)</t>
        </is>
      </c>
      <c r="E32" s="6" t="inlineStr">
        <is>
          <t>Πιστώνεται στον Unit Manager της ομάδας για την παραγωγή των μελών του.</t>
        </is>
      </c>
      <c r="F32" s="6" t="inlineStr">
        <is>
          <t>Εάν υπάρχει Unit Manager στην ιεραρχία του συνεργάτη, λαμβάνει 10% επί της προμήθειας.</t>
        </is>
      </c>
    </row>
    <row r="33" ht="36" customHeight="1">
      <c r="A33" s="7" t="inlineStr">
        <is>
          <t>Agency Manager / Γραφείο 1411 (LANCA Ε.Ε.)</t>
        </is>
      </c>
      <c r="B33" s="16" t="n">
        <v>0.2</v>
      </c>
      <c r="C33" s="8" t="inlineStr">
        <is>
          <t>Επί της Βασικής Προμήθειας Παραγωγού (PPO)</t>
        </is>
      </c>
      <c r="D33" s="8" t="inlineStr">
        <is>
          <t>5.80% επί των καθαρών ασφαλίστρων (20% * 29%)</t>
        </is>
      </c>
      <c r="E33" s="8" t="inlineStr">
        <is>
          <t>Πιστώνεται στο Agency 1411 (LANCA Ε.Ε.) για όλη την παραγωγή του δικτύου.</t>
        </is>
      </c>
      <c r="F33" s="8" t="inlineStr">
        <is>
          <t>Σε παραγωγή συνεργάτη με Υποκωδικό: Το Γραφείο 1411 εισπράττει την πλήρη Υπερπρομήθεια 20% (F612PAG). Εάν δεν υπάρχει Unit, το Agency παίρνει ολόκληρο το 20%.</t>
        </is>
      </c>
    </row>
    <row r="34" ht="36" customHeight="1">
      <c r="A34" s="17" t="inlineStr">
        <is>
          <t>Direct Παραγωγή Γραφείου 1411 (House Business)</t>
        </is>
      </c>
      <c r="B34" s="18" t="n">
        <v>1.2</v>
      </c>
      <c r="C34" s="19" t="inlineStr">
        <is>
          <t>100% Προμήθεια Παραγωγού + 20% Υπερπρομήθεια Agency</t>
        </is>
      </c>
      <c r="D34" s="19" t="inlineStr">
        <is>
          <t>34.80% επί των καθαρών ασφαλίστρων (29% + 5.8%)</t>
        </is>
      </c>
      <c r="E34" s="19" t="inlineStr">
        <is>
          <t>Πιστώνεται εξ ολοκλήρου στο Γραφείο 1411 (LANCA Ε.Ε.).</t>
        </is>
      </c>
      <c r="F34" s="19" t="inlineStr">
        <is>
          <t>Στα συμβόλαια που εκδίδονται απευθείας στον κωδικό 1411 (χωρίς εξωτερικό συνεργάτη), το γραφείο εισπράττει τόσο την αμοιβή παραγωγού όσο και την υπερπρομήθεια δικτύου!</t>
        </is>
      </c>
    </row>
    <row r="35"/>
    <row r="36"/>
    <row r="37">
      <c r="A37" s="3" t="inlineStr">
        <is>
          <t>Δ. ΕΤΗΣΙΑ BONUS ΔΙΑΤΗΡΗΣΗΣ, ΑΠΟΤΕΛΕΣΜΑΤΟΣ &amp; ΝΕΑΣ ΠΑΡΑΓΩΓΗΣ</t>
        </is>
      </c>
    </row>
    <row r="38" ht="24" customHeight="1">
      <c r="A38" s="4" t="inlineStr">
        <is>
          <t>Τύπος Bonus</t>
        </is>
      </c>
      <c r="B38" s="4" t="inlineStr">
        <is>
          <t>Κριτήριο &amp; Κλίμακα Επίδοσης</t>
        </is>
      </c>
      <c r="C38" s="4" t="inlineStr">
        <is>
          <t>Ποσοστό Bonus (%)</t>
        </is>
      </c>
      <c r="D38" s="4" t="inlineStr">
        <is>
          <t>Βάση Υπολογισμού</t>
        </is>
      </c>
      <c r="E38" s="4" t="inlineStr">
        <is>
          <t>Σημειώσεις &amp; Προϋποθέσεις</t>
        </is>
      </c>
    </row>
    <row r="39" ht="42" customHeight="1">
      <c r="A39" s="7" t="inlineStr">
        <is>
          <t>Bonus Διατήρησης &amp; Ανάπτυξης Χαρτοφυλακίου</t>
        </is>
      </c>
      <c r="B39" s="8" t="inlineStr">
        <is>
          <t>Χαρτοφυλάκιο &gt; €50,000
Χαρτοφυλάκιο &gt; €100,000
Χαρτοφυλάκιο &gt; €150,000</t>
        </is>
      </c>
      <c r="C39" s="20" t="inlineStr">
        <is>
          <t>1.00%
1.50%
2.00%</t>
        </is>
      </c>
      <c r="D39" s="8" t="inlineStr">
        <is>
          <t>Εισπραγμένα καθαρά ασφάλιστρα Ζωής &amp; Υγείας</t>
        </is>
      </c>
      <c r="E39" s="8" t="inlineStr">
        <is>
          <t>Καταβάλλεται ετησίως επί του συνόλου του χαρτοφυλακίου.</t>
        </is>
      </c>
    </row>
    <row r="40" ht="42" customHeight="1">
      <c r="A40" s="5" t="inlineStr">
        <is>
          <t>Bonus Καλού Αποτελέσματος (Loss Ratio)</t>
        </is>
      </c>
      <c r="B40" s="6" t="inlineStr">
        <is>
          <t>Loss Ratio (S/P) &lt;= 50%
Loss Ratio (S/P) &lt;= 45%
Loss Ratio (S/P) &lt;= 40%
Loss Ratio (S/P) &lt;= 35%
Loss Ratio (S/P) &lt;= 30%</t>
        </is>
      </c>
      <c r="C40" s="21" t="inlineStr">
        <is>
          <t>2.00%
3.00%
4.00%
5.00%
6.00%</t>
        </is>
      </c>
      <c r="D40" s="6" t="inlineStr">
        <is>
          <t>Ετήσια δεδουλευμένα καθαρά ασφάλιστρα Υγείας</t>
        </is>
      </c>
      <c r="E40" s="6" t="inlineStr">
        <is>
          <t>Ελάχιστη παραγωγή καθαρών ασφαλίστρων €30,000.</t>
        </is>
      </c>
    </row>
    <row r="41" ht="42" customHeight="1">
      <c r="A41" s="7" t="inlineStr">
        <is>
          <t>Bonus Πρωτοετούς Παραγωγής Υγείας</t>
        </is>
      </c>
      <c r="B41" s="8" t="inlineStr">
        <is>
          <t>Νέα Παραγωγή &gt; €10,000
Νέα Παραγωγή &gt; €20,000
Νέα Παραγωγή &gt; €30,000
Νέα Παραγωγή &gt; €40,000
Νέα Παραγωγή &gt; €50,000</t>
        </is>
      </c>
      <c r="C41" s="20" t="inlineStr">
        <is>
          <t>1.00%
2.00%
3.00%
4.00%
5.00%</t>
        </is>
      </c>
      <c r="D41" s="8" t="inlineStr">
        <is>
          <t>Εισπραγμένη νέα παραγωγή καθαρών ασφαλίστρων Υγείας</t>
        </is>
      </c>
      <c r="E41" s="8" t="inlineStr">
        <is>
          <t>Επιβράβευση ανάπτυξης νέων εργασιών.</t>
        </is>
      </c>
    </row>
    <row r="42" ht="42" customHeight="1">
      <c r="A42" s="5" t="inlineStr">
        <is>
          <t>Bonus Διατηρησιμότητας (Persistency)</t>
        </is>
      </c>
      <c r="B42" s="6" t="inlineStr">
        <is>
          <t>Διατηρησιμότητα 80% - 85%
Διατηρησιμότητα 85% - 90%
Διατηρησιμότητα &gt; 90%</t>
        </is>
      </c>
      <c r="C42" s="21" t="inlineStr">
        <is>
          <t>5.00% - 7.00%
9.00%
13.50%</t>
        </is>
      </c>
      <c r="D42" s="6" t="inlineStr">
        <is>
          <t>Επί των προμηθειών ανανεώσεων</t>
        </is>
      </c>
      <c r="E42" s="6" t="inlineStr">
        <is>
          <t>Υπολογίζεται στις 31/12 για συμβόλαια που ανανεώθηκαν επιτυχώς.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26" customWidth="1" min="3" max="3"/>
    <col width="24" customWidth="1" min="4" max="4"/>
    <col width="59" customWidth="1" min="5" max="5"/>
    <col width="60" customWidth="1" min="6" max="6"/>
    <col width="32" customWidth="1" min="7" max="7"/>
    <col width="31" customWidth="1" min="8" max="8"/>
    <col width="35" customWidth="1" min="9" max="9"/>
  </cols>
  <sheetData>
    <row r="1">
      <c r="A1" s="1" t="inlineStr">
        <is>
          <t>ΔΙΑΔΡΑΣΤΙΚΟΣ ΥΠΟΛΟΓΙΣΤΗΣ ΑΣΦΑΛΙΣΤΡΩΝ, ΠΡΟΜΗΘΕΙΩΝ &amp; ΥΠΕΡΠΡΟΜΗΘΕΙΩΝ</t>
        </is>
      </c>
    </row>
    <row r="2">
      <c r="A2" s="2" t="inlineStr">
        <is>
          <t>Εισάγετε τα στοιχεία του συμβολαίου στα κίτρινα πεδία για να υπολογιστούν αυτόματα οι προμήθειες συνεργάτη και οι υπερπρομήθειες του γραφείου 1411 (LANCA Ε.Ε.)</t>
        </is>
      </c>
    </row>
    <row r="3"/>
    <row r="4">
      <c r="B4" s="4" t="inlineStr">
        <is>
          <t>ΣΤΟΙΧΕΙΑ ΕΙΣΑΓΩΓΗΣ (USER INPUTS)</t>
        </is>
      </c>
      <c r="E4" s="10" t="inlineStr">
        <is>
          <t>ΑΠΟΤΕΛΕΣΜΑΤΑ ΥΠΟΛΟΓΙΣΜΟΥ (OUTPUTS)</t>
        </is>
      </c>
    </row>
    <row r="5" ht="25" customHeight="1">
      <c r="B5" s="7" t="inlineStr">
        <is>
          <t>Κλάδος / Ασφαλιστικό Πρόγραμμα:</t>
        </is>
      </c>
      <c r="C5" s="22" t="inlineStr">
        <is>
          <t>ERGO Health Care</t>
        </is>
      </c>
      <c r="E5" s="7" t="inlineStr">
        <is>
          <t>Καθαρό Ασφάλιστρο Βάσης (Net Premium):</t>
        </is>
      </c>
      <c r="F5" s="23">
        <f>C8-C9</f>
        <v/>
      </c>
    </row>
    <row r="6" ht="25" customHeight="1">
      <c r="B6" s="7" t="inlineStr">
        <is>
          <t>Έτος Συμβολαίου:</t>
        </is>
      </c>
      <c r="C6" s="22" t="inlineStr">
        <is>
          <t>1ο Έτος</t>
        </is>
      </c>
      <c r="E6" s="7" t="inlineStr">
        <is>
          <t>Βασικός Συντελεστής Προμήθειας Παραγωγού (%):</t>
        </is>
      </c>
      <c r="F6" s="24">
        <f>IF(C5="ERGO Health Care", IF(C6="1ο Έτος", IF(C7="Κατηγορία Α", 29%, IF(C7="Κατηγορία Β", 31.9%, 34.8%)), 25%), IF(C5="ERGO Best Health", IF(C6="1ο Έτος", 26%, 23%), IF(C5="Ισόβια / Πρόσκαιρη Ζωής", IF(C6="1ο Έτος", 50%, IF(C6="2ο Έτος", 15%, 8%)), IF(C5="ERGO My Saving Simple", IF(C6="1ο Έτος", 14.58%, 6.67%), 25%))))</f>
        <v/>
      </c>
    </row>
    <row r="7" ht="25" customHeight="1">
      <c r="B7" s="7" t="inlineStr">
        <is>
          <t>Κατηγορία Συνεργάτη:</t>
        </is>
      </c>
      <c r="C7" s="22" t="inlineStr">
        <is>
          <t>Κατηγορία Α</t>
        </is>
      </c>
      <c r="E7" s="7" t="inlineStr">
        <is>
          <t>Συνολική Βασική Προμήθεια Παραγωγού (€):</t>
        </is>
      </c>
      <c r="F7" s="23">
        <f>ROUND(F5*F6, 2)</f>
        <v/>
      </c>
    </row>
    <row r="8" ht="25" customHeight="1">
      <c r="B8" s="7" t="inlineStr">
        <is>
          <t>Μικτά Ασφάλιστρα (€):</t>
        </is>
      </c>
      <c r="C8" s="25" t="n">
        <v>817.8</v>
      </c>
      <c r="E8" s="7" t="inlineStr">
        <is>
          <t>Ποσό Πληρωμής στον Συνεργάτη (€):</t>
        </is>
      </c>
      <c r="F8" s="23">
        <f>IF(C10="Direct Γραφείο 1411 (LANCA)", 0, ROUND(F7*C11, 2))</f>
        <v/>
      </c>
    </row>
    <row r="9" ht="25" customHeight="1">
      <c r="B9" s="7" t="inlineStr">
        <is>
          <t>Εκτιμώμενα Δικαιώματα &amp; Φόροι (€):</t>
        </is>
      </c>
      <c r="C9" s="25" t="n">
        <v>151.68</v>
      </c>
      <c r="E9" s="7" t="inlineStr">
        <is>
          <t>Υπερπρομήθεια Agency Γραφείου 1411 (20% επί Προμήθειας):</t>
        </is>
      </c>
      <c r="F9" s="23">
        <f>ROUND(F7*20%, 2)</f>
        <v/>
      </c>
    </row>
    <row r="10" ht="25" customHeight="1">
      <c r="B10" s="7" t="inlineStr">
        <is>
          <t>Τύπος Παραγωγού:</t>
        </is>
      </c>
      <c r="C10" s="22" t="inlineStr">
        <is>
          <t>Συνεργάτης με Υποκωδικό</t>
        </is>
      </c>
      <c r="E10" s="7" t="inlineStr">
        <is>
          <t>Προμήθεια Direct Γραφείου 1411 (αν Direct):</t>
        </is>
      </c>
      <c r="F10" s="23">
        <f>IF(C10="Direct Γραφείο 1411 (LANCA)", F7, 0)</f>
        <v/>
      </c>
    </row>
    <row r="11" ht="25" customHeight="1">
      <c r="B11" s="7" t="inlineStr">
        <is>
          <t>Συμφωνηθέν Ποσοστό Συνεργάτη (%):</t>
        </is>
      </c>
      <c r="C11" s="26" t="n">
        <v>1</v>
      </c>
      <c r="E11" s="7" t="inlineStr">
        <is>
          <t>Διαφορά / Παρακράτηση Προμήθειας Γραφείου (€):</t>
        </is>
      </c>
      <c r="F11" s="23">
        <f>ROUND(F7-F8-F10, 2)</f>
        <v/>
      </c>
    </row>
    <row r="12" ht="25" customHeight="1">
      <c r="E12" s="27" t="inlineStr">
        <is>
          <t>ΣΥΝΟΛΙΚΟ ΚΕΡΔΟΣ / ΕΙΣΡΟΗ ΓΡΑΦΕΙΟΥ 1411 (LANCA Ε.Ε.) (€):</t>
        </is>
      </c>
      <c r="F12" s="28">
        <f>ROUND(F9+F10+F11, 2)</f>
        <v/>
      </c>
    </row>
    <row r="13" ht="25" customHeight="1">
      <c r="E13" s="27" t="inlineStr">
        <is>
          <t>Συνολικό Ποσοστό Απόδοσης Γραφείου επί Καθαρών (%):</t>
        </is>
      </c>
      <c r="F13" s="29">
        <f>ROUND(F12/F5, 4)</f>
        <v/>
      </c>
    </row>
    <row r="14"/>
    <row r="15"/>
    <row r="16">
      <c r="A16" s="3" t="inlineStr">
        <is>
          <t>ΠΙΝΑΚΑΣ ΕΝΔΕΙΚΤΙΚΩΝ ΣΕΝΑΡΙΩΝ ΣΥΜΒΟΛΑΙΩΝ &amp; ΑΝΑΛΥΣΗ ΚΕΡΔΟΦΟΡΙΑΣ ΓΡΑΦΕΙΟΥ 1411</t>
        </is>
      </c>
    </row>
    <row r="17" ht="26" customHeight="1">
      <c r="A17" s="9" t="inlineStr">
        <is>
          <t>Πρόγραμμα Ασφάλισης</t>
        </is>
      </c>
      <c r="B17" s="9" t="inlineStr">
        <is>
          <t>Έτος Συμβολαίου</t>
        </is>
      </c>
      <c r="C17" s="9" t="inlineStr">
        <is>
          <t>Μικτά Ασφάλιστρα (€)</t>
        </is>
      </c>
      <c r="D17" s="9" t="inlineStr">
        <is>
          <t>Καθαρά Ασφάλιστρα (€)</t>
        </is>
      </c>
      <c r="E17" s="9" t="inlineStr">
        <is>
          <t>Συντελεστής Προμήθειας (%)</t>
        </is>
      </c>
      <c r="F17" s="9" t="inlineStr">
        <is>
          <t>Προμήθεια Συνεργάτη (€)</t>
        </is>
      </c>
      <c r="G17" s="9" t="inlineStr">
        <is>
          <t>Υπερπρομήθεια Agency 1411 (€)</t>
        </is>
      </c>
      <c r="H17" s="9" t="inlineStr">
        <is>
          <t>Συνολικό Έσοδο 1411 (Direct)</t>
        </is>
      </c>
      <c r="I17" s="9" t="inlineStr">
        <is>
          <t>Συνολικό Έσοδο 1411 (Υποκωδικός)</t>
        </is>
      </c>
    </row>
    <row r="18" ht="22" customHeight="1">
      <c r="A18" s="30" t="inlineStr">
        <is>
          <t>ERGO Health Care Superior (€1.500)</t>
        </is>
      </c>
      <c r="B18" s="31" t="inlineStr">
        <is>
          <t>1ο Έτος</t>
        </is>
      </c>
      <c r="C18" s="32" t="n">
        <v>817.8</v>
      </c>
      <c r="D18" s="32" t="n">
        <v>666.12</v>
      </c>
      <c r="E18" s="33" t="n">
        <v>0.29</v>
      </c>
      <c r="F18" s="32">
        <f>ROUND(D18*E18, 2)</f>
        <v/>
      </c>
      <c r="G18" s="32">
        <f>ROUND(F18*20%, 2)</f>
        <v/>
      </c>
      <c r="H18" s="34">
        <f>ROUND(F18+G18, 2)</f>
        <v/>
      </c>
      <c r="I18" s="34">
        <f>G18</f>
        <v/>
      </c>
    </row>
    <row r="19" ht="22" customHeight="1">
      <c r="A19" s="35" t="inlineStr">
        <is>
          <t>ERGO Health Care Simple (€500)</t>
        </is>
      </c>
      <c r="B19" s="36" t="inlineStr">
        <is>
          <t>1ο Έτος</t>
        </is>
      </c>
      <c r="C19" s="37" t="n">
        <v>475.5</v>
      </c>
      <c r="D19" s="37" t="n">
        <v>414.55</v>
      </c>
      <c r="E19" s="38" t="n">
        <v>0.29</v>
      </c>
      <c r="F19" s="37">
        <f>ROUND(D19*E19, 2)</f>
        <v/>
      </c>
      <c r="G19" s="37">
        <f>ROUND(F19*20%, 2)</f>
        <v/>
      </c>
      <c r="H19" s="23">
        <f>ROUND(F19+G19, 2)</f>
        <v/>
      </c>
      <c r="I19" s="23">
        <f>G19</f>
        <v/>
      </c>
    </row>
    <row r="20" ht="22" customHeight="1">
      <c r="A20" s="30" t="inlineStr">
        <is>
          <t>ERGO Health Care Advanced (€500)</t>
        </is>
      </c>
      <c r="B20" s="31" t="inlineStr">
        <is>
          <t>Ανανέωση (2ο+)</t>
        </is>
      </c>
      <c r="C20" s="32" t="n">
        <v>475.5</v>
      </c>
      <c r="D20" s="32" t="n">
        <v>414.55</v>
      </c>
      <c r="E20" s="33" t="n">
        <v>0.25</v>
      </c>
      <c r="F20" s="32">
        <f>ROUND(D20*E20, 2)</f>
        <v/>
      </c>
      <c r="G20" s="32">
        <f>ROUND(F20*20%, 2)</f>
        <v/>
      </c>
      <c r="H20" s="34">
        <f>ROUND(F20+G20, 2)</f>
        <v/>
      </c>
      <c r="I20" s="34">
        <f>G20</f>
        <v/>
      </c>
    </row>
    <row r="21" ht="22" customHeight="1">
      <c r="A21" s="35" t="inlineStr">
        <is>
          <t>ERGO Health Care Advanced (€3.000)</t>
        </is>
      </c>
      <c r="B21" s="36" t="inlineStr">
        <is>
          <t>Ανανέωση (2ο+)</t>
        </is>
      </c>
      <c r="C21" s="37" t="n">
        <v>247.37</v>
      </c>
      <c r="D21" s="37" t="n">
        <v>202.37</v>
      </c>
      <c r="E21" s="38" t="n">
        <v>0.25</v>
      </c>
      <c r="F21" s="37">
        <f>ROUND(D21*E21, 2)</f>
        <v/>
      </c>
      <c r="G21" s="37">
        <f>ROUND(F21*20%, 2)</f>
        <v/>
      </c>
      <c r="H21" s="23">
        <f>ROUND(F21+G21, 2)</f>
        <v/>
      </c>
      <c r="I21" s="23">
        <f>G21</f>
        <v/>
      </c>
    </row>
    <row r="22" ht="22" customHeight="1">
      <c r="A22" s="30" t="inlineStr">
        <is>
          <t>Ασφάλιση Ζωής &amp; Υγείας (FTTB IKE)</t>
        </is>
      </c>
      <c r="B22" s="31" t="inlineStr">
        <is>
          <t>1ο Έτος</t>
        </is>
      </c>
      <c r="C22" s="32" t="n">
        <v>966.6</v>
      </c>
      <c r="D22" s="32" t="n">
        <v>874.16</v>
      </c>
      <c r="E22" s="33" t="n">
        <v>0.2724</v>
      </c>
      <c r="F22" s="32">
        <f>ROUND(D22*E22, 2)</f>
        <v/>
      </c>
      <c r="G22" s="32">
        <f>ROUND(F22*20%, 2)</f>
        <v/>
      </c>
      <c r="H22" s="34">
        <f>ROUND(F22+G22, 2)</f>
        <v/>
      </c>
      <c r="I22" s="34">
        <f>G22</f>
        <v/>
      </c>
    </row>
    <row r="23" ht="22" customHeight="1">
      <c r="A23" s="35" t="inlineStr">
        <is>
          <t>Ισόβια Ασφάλιση Ζωής</t>
        </is>
      </c>
      <c r="B23" s="36" t="inlineStr">
        <is>
          <t>1ο Έτος</t>
        </is>
      </c>
      <c r="C23" s="37" t="n">
        <v>1200</v>
      </c>
      <c r="D23" s="37" t="n">
        <v>1000</v>
      </c>
      <c r="E23" s="38" t="n">
        <v>0.5</v>
      </c>
      <c r="F23" s="37">
        <f>ROUND(D23*E23, 2)</f>
        <v/>
      </c>
      <c r="G23" s="37">
        <f>ROUND(F23*20%, 2)</f>
        <v/>
      </c>
      <c r="H23" s="23">
        <f>ROUND(F23+G23, 2)</f>
        <v/>
      </c>
      <c r="I23" s="23">
        <f>G23</f>
        <v/>
      </c>
    </row>
    <row r="24" ht="22" customHeight="1">
      <c r="A24" s="30" t="inlineStr">
        <is>
          <t>Ισόβια Ασφάλιση Ζωής</t>
        </is>
      </c>
      <c r="B24" s="31" t="inlineStr">
        <is>
          <t>Ανανέωση (2ο)</t>
        </is>
      </c>
      <c r="C24" s="32" t="n">
        <v>1200</v>
      </c>
      <c r="D24" s="32" t="n">
        <v>1000</v>
      </c>
      <c r="E24" s="33" t="n">
        <v>0.15</v>
      </c>
      <c r="F24" s="32">
        <f>ROUND(D24*E24, 2)</f>
        <v/>
      </c>
      <c r="G24" s="32">
        <f>ROUND(F24*20%, 2)</f>
        <v/>
      </c>
      <c r="H24" s="34">
        <f>ROUND(F24+G24, 2)</f>
        <v/>
      </c>
      <c r="I24" s="34">
        <f>G24</f>
        <v/>
      </c>
    </row>
    <row r="25" ht="22" customHeight="1">
      <c r="A25" s="35" t="inlineStr">
        <is>
          <t>ERGO My Saving Simple</t>
        </is>
      </c>
      <c r="B25" s="36" t="inlineStr">
        <is>
          <t>1ο Έτος</t>
        </is>
      </c>
      <c r="C25" s="37" t="n">
        <v>1200</v>
      </c>
      <c r="D25" s="37" t="n">
        <v>1000</v>
      </c>
      <c r="E25" s="38" t="n">
        <v>0.1458</v>
      </c>
      <c r="F25" s="37">
        <f>ROUND(D25*E25, 2)</f>
        <v/>
      </c>
      <c r="G25" s="37">
        <f>ROUND(F25*20%, 2)</f>
        <v/>
      </c>
      <c r="H25" s="23">
        <f>ROUND(F25+G25, 2)</f>
        <v/>
      </c>
      <c r="I25" s="23">
        <f>G25</f>
        <v/>
      </c>
    </row>
    <row r="26" ht="22" customHeight="1">
      <c r="A26" s="30" t="inlineStr">
        <is>
          <t>ERGO My Fund Flex Plan (Unit Linked)</t>
        </is>
      </c>
      <c r="B26" s="31" t="inlineStr">
        <is>
          <t>1ο Έτος</t>
        </is>
      </c>
      <c r="C26" s="32" t="n">
        <v>1500</v>
      </c>
      <c r="D26" s="32" t="n">
        <v>1250</v>
      </c>
      <c r="E26" s="33" t="n">
        <v>0.22</v>
      </c>
      <c r="F26" s="32">
        <f>ROUND(D26*E26, 2)</f>
        <v/>
      </c>
      <c r="G26" s="32">
        <f>ROUND(F26*20%, 2)</f>
        <v/>
      </c>
      <c r="H26" s="34">
        <f>ROUND(F26+G26, 2)</f>
        <v/>
      </c>
      <c r="I26" s="34">
        <f>G26</f>
        <v/>
      </c>
    </row>
    <row r="27" ht="22" customHeight="1">
      <c r="A27" s="35" t="inlineStr">
        <is>
          <t>Ομαδικό ERGO My People</t>
        </is>
      </c>
      <c r="B27" s="36" t="inlineStr">
        <is>
          <t>Ετήσιο</t>
        </is>
      </c>
      <c r="C27" s="37" t="n">
        <v>3500</v>
      </c>
      <c r="D27" s="37" t="n">
        <v>3000</v>
      </c>
      <c r="E27" s="38" t="n">
        <v>0.1</v>
      </c>
      <c r="F27" s="37">
        <f>ROUND(D27*E27, 2)</f>
        <v/>
      </c>
      <c r="G27" s="37">
        <f>ROUND(F27*20%, 2)</f>
        <v/>
      </c>
      <c r="H27" s="23">
        <f>ROUND(F27+G27, 2)</f>
        <v/>
      </c>
      <c r="I27" s="23">
        <f>G27</f>
        <v/>
      </c>
    </row>
  </sheetData>
  <mergeCells count="4">
    <mergeCell ref="E4:F4"/>
    <mergeCell ref="A2:G2"/>
    <mergeCell ref="B4:C4"/>
    <mergeCell ref="A1:G1"/>
  </mergeCells>
  <dataValidations count="4">
    <dataValidation sqref="C5" showDropDown="0" showInputMessage="0" showErrorMessage="0" allowBlank="1" type="list">
      <formula1>"ERGO Health Care,ERGO Best Health,Ισόβια / Πρόσκαιρη Ζωής,ERGO My Saving Simple,ERGO My Fund Flex Plan,Ομαδικά ERGO My People"</formula1>
    </dataValidation>
    <dataValidation sqref="C6" showDropDown="0" showInputMessage="0" showErrorMessage="0" allowBlank="1" type="list">
      <formula1>"1ο Έτος,2ο Έτος,3ο Έτος,4ο+ Έτος (Ανανέωση)"</formula1>
    </dataValidation>
    <dataValidation sqref="C7" showDropDown="0" showInputMessage="0" showErrorMessage="0" allowBlank="1" type="list">
      <formula1>"Κατηγορία Α,Κατηγορία Β,Κατηγορία Γ"</formula1>
    </dataValidation>
    <dataValidation sqref="C10" showDropDown="0" showInputMessage="0" showErrorMessage="0" allowBlank="1" type="list">
      <formula1>"Συνεργάτης με Υποκωδικό,Direct Γραφείο 1411 (LANCA)"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17" customWidth="1" min="4" max="4"/>
    <col width="16" customWidth="1" min="5" max="5"/>
    <col width="34" customWidth="1" min="6" max="6"/>
    <col width="45" customWidth="1" min="7" max="7"/>
    <col width="13" customWidth="1" min="8" max="8"/>
    <col width="24" customWidth="1" min="9" max="9"/>
    <col width="30" customWidth="1" min="10" max="10"/>
    <col width="42" customWidth="1" min="11" max="11"/>
    <col width="20" customWidth="1" min="12" max="12"/>
    <col width="18" customWidth="1" min="13" max="13"/>
    <col width="13" customWidth="1" min="14" max="14"/>
    <col width="12" customWidth="1" min="15" max="15"/>
    <col width="23" customWidth="1" min="16" max="16"/>
    <col width="22" customWidth="1" min="17" max="17"/>
    <col width="24" customWidth="1" min="18" max="18"/>
    <col width="22" customWidth="1" min="19" max="19"/>
    <col width="26" customWidth="1" min="20" max="20"/>
    <col width="22" customWidth="1" min="21" max="21"/>
    <col width="32" customWidth="1" min="22" max="22"/>
    <col width="22" customWidth="1" min="23" max="23"/>
    <col width="27" customWidth="1" min="24" max="24"/>
    <col width="47" customWidth="1" min="25" max="25"/>
  </cols>
  <sheetData>
    <row r="1">
      <c r="A1" s="1" t="inlineStr">
        <is>
          <t>ΕΝΟΠΟΙΗΜΕΝΟ ΜΗΤΡΩΟ ΠΑΡΑΓΩΓΗΣ, ΑΝΑΝΕΩΣΕΩΝ &amp; ΕΚΚΑΘΑΡΙΣΕΩΝ 2026</t>
        </is>
      </c>
    </row>
    <row r="2">
      <c r="A2" s="2" t="inlineStr">
        <is>
          <t>Πλήρης Χρονολογική Ενοποίηση Όλων των 20 Οικονομικών Κινήσεων 2026 από τα Αρχεία 1411-ΠΡΟΜΗΘΕΙΕΣ με Πλήρη Στοιχεία Πελατών, Πακέτο, Προμήθειες &amp; Υπερπρομήθειες</t>
        </is>
      </c>
    </row>
    <row r="3"/>
    <row r="4"/>
    <row r="5" ht="28" customHeight="1">
      <c r="A5" s="4" t="inlineStr">
        <is>
          <t>Α/Α</t>
        </is>
      </c>
      <c r="B5" s="4" t="inlineStr">
        <is>
          <t>Ημερομηνία Έναρξης</t>
        </is>
      </c>
      <c r="C5" s="4" t="inlineStr">
        <is>
          <t>Μήνας Εκκαθάρισης</t>
        </is>
      </c>
      <c r="D5" s="4" t="inlineStr">
        <is>
          <t>Αρ. Συμβολαίου</t>
        </is>
      </c>
      <c r="E5" s="4" t="inlineStr">
        <is>
          <t>Αρ. Απόδειξης</t>
        </is>
      </c>
      <c r="F5" s="4" t="inlineStr">
        <is>
          <t>Ονοματεπώνυμο Πελάτη / Επωνυμία</t>
        </is>
      </c>
      <c r="G5" s="4" t="inlineStr">
        <is>
          <t>Πακέτο / Πρόγραμμα Ασφάλισης</t>
        </is>
      </c>
      <c r="H5" s="4" t="inlineStr">
        <is>
          <t>ΑΦΜ Πελάτη</t>
        </is>
      </c>
      <c r="I5" s="4" t="inlineStr">
        <is>
          <t>Τηλέφωνο Επικοινωνίας</t>
        </is>
      </c>
      <c r="J5" s="4" t="inlineStr">
        <is>
          <t>Email Πελάτη</t>
        </is>
      </c>
      <c r="K5" s="4" t="inlineStr">
        <is>
          <t>Διεύθυνση &amp; Πόλη</t>
        </is>
      </c>
      <c r="L5" s="4" t="inlineStr">
        <is>
          <t>Κωδικός Συνεργάτη</t>
        </is>
      </c>
      <c r="M5" s="4" t="inlineStr">
        <is>
          <t>Τρόπος Πληρωμής</t>
        </is>
      </c>
      <c r="N5" s="4" t="inlineStr">
        <is>
          <t>Διαν. Έτος</t>
        </is>
      </c>
      <c r="O5" s="4" t="inlineStr">
        <is>
          <t>Διάρκεια</t>
        </is>
      </c>
      <c r="P5" s="4" t="inlineStr">
        <is>
          <t>Μικτά Ασφάλιστρα (€)</t>
        </is>
      </c>
      <c r="Q5" s="4" t="inlineStr">
        <is>
          <t>Καθαρά ΒΚ - Ζωή (€)</t>
        </is>
      </c>
      <c r="R5" s="4" t="inlineStr">
        <is>
          <t>Καθαρά ΣΚ - Υγεία (€)</t>
        </is>
      </c>
      <c r="S5" s="4" t="inlineStr">
        <is>
          <t>Συνολικά Καθαρά (€)</t>
        </is>
      </c>
      <c r="T5" s="4" t="inlineStr">
        <is>
          <t>Προμήθεια Συνεργάτη (€)</t>
        </is>
      </c>
      <c r="U5" s="4" t="inlineStr">
        <is>
          <t>Προμήθεια %</t>
        </is>
      </c>
      <c r="V5" s="4" t="inlineStr">
        <is>
          <t>Υπερπρομήθεια Agency 1411 (€)</t>
        </is>
      </c>
      <c r="W5" s="4" t="inlineStr">
        <is>
          <t>Υπερπρομήθεια %</t>
        </is>
      </c>
      <c r="X5" s="4" t="inlineStr">
        <is>
          <t>Συνολική Εισροή 1411 (€)</t>
        </is>
      </c>
      <c r="Y5" s="4" t="inlineStr">
        <is>
          <t>Τύπος Κίνησης &amp; Σημείωση Συμψηφισμού</t>
        </is>
      </c>
    </row>
    <row r="6" ht="20" customHeight="1">
      <c r="A6" s="13" t="n">
        <v>1</v>
      </c>
      <c r="B6" s="13" t="inlineStr">
        <is>
          <t>27/1/2026</t>
        </is>
      </c>
      <c r="C6" s="13" t="inlineStr">
        <is>
          <t>03/2026</t>
        </is>
      </c>
      <c r="D6" s="21" t="n">
        <v>2026000161</v>
      </c>
      <c r="E6" s="13" t="n">
        <v>126288</v>
      </c>
      <c r="F6" s="5" t="inlineStr">
        <is>
          <t>ΤΕΖΚΟΣΑΡ ΑΓΛΑΙΑ</t>
        </is>
      </c>
      <c r="G6" s="5" t="inlineStr">
        <is>
          <t>ERGO Health Care Simple (€500) + Affidea</t>
        </is>
      </c>
      <c r="H6" s="13" t="inlineStr">
        <is>
          <t>141624244</t>
        </is>
      </c>
      <c r="I6" s="13" t="inlineStr">
        <is>
          <t>6970030570</t>
        </is>
      </c>
      <c r="J6" s="6" t="inlineStr">
        <is>
          <t>hrisafaki@gmail.com</t>
        </is>
      </c>
      <c r="K6" s="6" t="inlineStr">
        <is>
          <t>Αφροδίτης 47-49, Παλαιό Φάληρο ΤΚ 17561</t>
        </is>
      </c>
      <c r="L6" s="13" t="n">
        <v>1411</v>
      </c>
      <c r="M6" s="13" t="inlineStr">
        <is>
          <t>Τριμηνιαία</t>
        </is>
      </c>
      <c r="N6" s="13" t="n">
        <v>1</v>
      </c>
      <c r="O6" s="13" t="n">
        <v>1</v>
      </c>
      <c r="P6" s="34" t="n">
        <v>475.5</v>
      </c>
      <c r="Q6" s="39" t="n">
        <v>0</v>
      </c>
      <c r="R6" s="39" t="n">
        <v>414.55</v>
      </c>
      <c r="S6" s="34" t="n">
        <v>414.55</v>
      </c>
      <c r="T6" s="39" t="n">
        <v>116.18</v>
      </c>
      <c r="U6" s="14" t="n">
        <v>0.2802556989506694</v>
      </c>
      <c r="V6" s="34" t="n">
        <v>23.24</v>
      </c>
      <c r="W6" s="14" t="n">
        <v>0.2000344293337924</v>
      </c>
      <c r="X6" s="34" t="n">
        <v>23.24</v>
      </c>
      <c r="Y6" s="5" t="inlineStr">
        <is>
          <t>Νέα Παραγωγή (1ο Έτος)</t>
        </is>
      </c>
    </row>
    <row r="7" ht="20" customHeight="1">
      <c r="A7" s="11" t="n">
        <v>2</v>
      </c>
      <c r="B7" s="11" t="inlineStr">
        <is>
          <t>29/1/2026</t>
        </is>
      </c>
      <c r="C7" s="11" t="inlineStr">
        <is>
          <t>02/2026</t>
        </is>
      </c>
      <c r="D7" s="20" t="n">
        <v>2026000182</v>
      </c>
      <c r="E7" s="11" t="n">
        <v>126309</v>
      </c>
      <c r="F7" s="7" t="inlineStr">
        <is>
          <t>ΠΑΠΑΔΑΚΗΣ ΦΑΙΔΩΝ</t>
        </is>
      </c>
      <c r="G7" s="7" t="inlineStr">
        <is>
          <t>Ασφάλιση Ζωής &amp; Υγείας</t>
        </is>
      </c>
      <c r="H7" s="11" t="inlineStr">
        <is>
          <t>-</t>
        </is>
      </c>
      <c r="I7" s="11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11" t="n">
        <v>1411</v>
      </c>
      <c r="M7" s="11" t="inlineStr">
        <is>
          <t>Ετήσια</t>
        </is>
      </c>
      <c r="N7" s="11" t="n">
        <v>1</v>
      </c>
      <c r="O7" s="11" t="n">
        <v>1</v>
      </c>
      <c r="P7" s="23" t="n">
        <v>896.3</v>
      </c>
      <c r="Q7" s="40" t="n">
        <v>0</v>
      </c>
      <c r="R7" s="40" t="n">
        <v>896.3</v>
      </c>
      <c r="S7" s="23" t="n">
        <v>896.3</v>
      </c>
      <c r="T7" s="40" t="n">
        <v>0</v>
      </c>
      <c r="U7" s="12" t="n">
        <v>0</v>
      </c>
      <c r="V7" s="23" t="n">
        <v>51.99</v>
      </c>
      <c r="W7" s="12" t="n">
        <v>0.2</v>
      </c>
      <c r="X7" s="23" t="n">
        <v>51.99</v>
      </c>
      <c r="Y7" s="7" t="inlineStr">
        <is>
          <t>Νέα Παραγωγή (1ο Έτος)</t>
        </is>
      </c>
    </row>
    <row r="8" ht="20" customHeight="1">
      <c r="A8" s="41" t="n">
        <v>3</v>
      </c>
      <c r="B8" s="42" t="inlineStr">
        <is>
          <t>2/2/2026</t>
        </is>
      </c>
      <c r="C8" s="42" t="inlineStr">
        <is>
          <t>04/2026</t>
        </is>
      </c>
      <c r="D8" s="43" t="n">
        <v>2026000210</v>
      </c>
      <c r="E8" s="41" t="n">
        <v>126337</v>
      </c>
      <c r="F8" s="44" t="inlineStr">
        <is>
          <t>ΜΟΥΛΑΚΑΚΗΣ ΓΡΗΓΟΡΙΟΣ (FTTB IKE)</t>
        </is>
      </c>
      <c r="G8" s="44" t="inlineStr">
        <is>
          <t>Ασφάλιση Ζωής &amp; Ατυχήματος (Standard Life)</t>
        </is>
      </c>
      <c r="H8" s="41" t="inlineStr">
        <is>
          <t>800769452</t>
        </is>
      </c>
      <c r="I8" s="41" t="inlineStr">
        <is>
          <t>6948487836</t>
        </is>
      </c>
      <c r="J8" s="45" t="inlineStr">
        <is>
          <t>GMULAKAKIS@GMAIL.COM</t>
        </is>
      </c>
      <c r="K8" s="45" t="inlineStr">
        <is>
          <t>Πολυτεχνείου 3, Γάζι ΤΚ 71414</t>
        </is>
      </c>
      <c r="L8" s="41" t="n">
        <v>1411</v>
      </c>
      <c r="M8" s="41" t="inlineStr">
        <is>
          <t>Ετήσια</t>
        </is>
      </c>
      <c r="N8" s="41" t="n">
        <v>1</v>
      </c>
      <c r="O8" s="41" t="n">
        <v>20</v>
      </c>
      <c r="P8" s="46" t="n">
        <v>-1029.77</v>
      </c>
      <c r="Q8" s="47" t="n">
        <v>-390.36</v>
      </c>
      <c r="R8" s="47" t="n">
        <v>-639.41</v>
      </c>
      <c r="S8" s="46" t="n">
        <v>-1029.77</v>
      </c>
      <c r="T8" s="47" t="n">
        <v>0</v>
      </c>
      <c r="U8" s="48" t="n">
        <v>-0</v>
      </c>
      <c r="V8" s="46" t="n">
        <v>-28.52</v>
      </c>
      <c r="W8" s="48" t="n">
        <v>0.2</v>
      </c>
      <c r="X8" s="46" t="n">
        <v>-28.52</v>
      </c>
      <c r="Y8" s="49" t="inlineStr">
        <is>
          <t>Συμψηφισμός 0,00 € (Αντιλογισμός/Επανέκδοση)</t>
        </is>
      </c>
    </row>
    <row r="9" ht="20" customHeight="1">
      <c r="A9" s="41" t="n">
        <v>4</v>
      </c>
      <c r="B9" s="41" t="inlineStr">
        <is>
          <t>2/2/2026</t>
        </is>
      </c>
      <c r="C9" s="41" t="inlineStr">
        <is>
          <t>04/2026</t>
        </is>
      </c>
      <c r="D9" s="43" t="n">
        <v>2026000210</v>
      </c>
      <c r="E9" s="41" t="n">
        <v>126337</v>
      </c>
      <c r="F9" s="44" t="inlineStr">
        <is>
          <t>ΜΟΥΛΑΚΑΚΗΣ ΓΡΗΓΟΡΙΟΣ (FTTB IKE)</t>
        </is>
      </c>
      <c r="G9" s="44" t="inlineStr">
        <is>
          <t>Ασφάλιση Ζωής &amp; Ατυχήματος (Standard Life)</t>
        </is>
      </c>
      <c r="H9" s="41" t="inlineStr">
        <is>
          <t>800769452</t>
        </is>
      </c>
      <c r="I9" s="41" t="inlineStr">
        <is>
          <t>6948487836</t>
        </is>
      </c>
      <c r="J9" s="45" t="inlineStr">
        <is>
          <t>GMULAKAKIS@GMAIL.COM</t>
        </is>
      </c>
      <c r="K9" s="45" t="inlineStr">
        <is>
          <t>Πολυτεχνείου 3, Γάζι ΤΚ 71414</t>
        </is>
      </c>
      <c r="L9" s="41" t="n">
        <v>1411</v>
      </c>
      <c r="M9" s="41" t="inlineStr">
        <is>
          <t>Ετήσια</t>
        </is>
      </c>
      <c r="N9" s="41" t="n">
        <v>1</v>
      </c>
      <c r="O9" s="41" t="n">
        <v>20</v>
      </c>
      <c r="P9" s="46" t="n">
        <v>1029.77</v>
      </c>
      <c r="Q9" s="47" t="n">
        <v>390.36</v>
      </c>
      <c r="R9" s="47" t="n">
        <v>639.41</v>
      </c>
      <c r="S9" s="46" t="n">
        <v>1029.77</v>
      </c>
      <c r="T9" s="47" t="n">
        <v>0</v>
      </c>
      <c r="U9" s="48" t="n">
        <v>0</v>
      </c>
      <c r="V9" s="46" t="n">
        <v>28.52</v>
      </c>
      <c r="W9" s="48" t="n">
        <v>0.2</v>
      </c>
      <c r="X9" s="46" t="n">
        <v>28.52</v>
      </c>
      <c r="Y9" s="49" t="inlineStr">
        <is>
          <t>Συμψηφισμός 0,00 € (Αντιλογισμός/Επανέκδοση)</t>
        </is>
      </c>
    </row>
    <row r="10" ht="20" customHeight="1">
      <c r="A10" s="41" t="n">
        <v>5</v>
      </c>
      <c r="B10" s="41" t="inlineStr">
        <is>
          <t>14/2/2026</t>
        </is>
      </c>
      <c r="C10" s="41" t="inlineStr">
        <is>
          <t>03/2026</t>
        </is>
      </c>
      <c r="D10" s="43" t="n">
        <v>2025000256</v>
      </c>
      <c r="E10" s="41" t="n">
        <v>80404824</v>
      </c>
      <c r="F10" s="44" t="inlineStr">
        <is>
          <t>ΒΑΒΑΤΣΙΚΟΣ ΔΗΜΗΤΡΙΟΣ</t>
        </is>
      </c>
      <c r="G10" s="44" t="inlineStr">
        <is>
          <t>ERGO Health Care Advanced (€500)</t>
        </is>
      </c>
      <c r="H10" s="41" t="inlineStr">
        <is>
          <t>160251127</t>
        </is>
      </c>
      <c r="I10" s="41" t="inlineStr">
        <is>
          <t>6985987796</t>
        </is>
      </c>
      <c r="J10" s="45" t="inlineStr">
        <is>
          <t>DIMVAVATSIKOS@GMAIL.COM</t>
        </is>
      </c>
      <c r="K10" s="45" t="inlineStr">
        <is>
          <t>Καρπάθου 11, Πειραιάς ΤΚ 18539</t>
        </is>
      </c>
      <c r="L10" s="41" t="n">
        <v>1411</v>
      </c>
      <c r="M10" s="41" t="inlineStr">
        <is>
          <t>Ετήσια</t>
        </is>
      </c>
      <c r="N10" s="41" t="n">
        <v>2</v>
      </c>
      <c r="O10" s="41" t="n">
        <v>1</v>
      </c>
      <c r="P10" s="46" t="n">
        <v>1309.8</v>
      </c>
      <c r="Q10" s="47" t="n">
        <v>0</v>
      </c>
      <c r="R10" s="47" t="n">
        <v>1093.95</v>
      </c>
      <c r="S10" s="46" t="n">
        <v>1093.95</v>
      </c>
      <c r="T10" s="47" t="n">
        <v>265.07</v>
      </c>
      <c r="U10" s="48" t="n">
        <v>0.2423054070112894</v>
      </c>
      <c r="V10" s="46" t="n">
        <v>53.01</v>
      </c>
      <c r="W10" s="48" t="n">
        <v>0.1999849096465085</v>
      </c>
      <c r="X10" s="46" t="n">
        <v>53.01</v>
      </c>
      <c r="Y10" s="49" t="inlineStr">
        <is>
          <t>Συμψηφισμός 0,00 € (Αρχική Εγγραφή)</t>
        </is>
      </c>
    </row>
    <row r="11" ht="20" customHeight="1">
      <c r="A11" s="41" t="n">
        <v>6</v>
      </c>
      <c r="B11" s="42" t="inlineStr">
        <is>
          <t>14/2/2026</t>
        </is>
      </c>
      <c r="C11" s="42" t="inlineStr">
        <is>
          <t>03/2026</t>
        </is>
      </c>
      <c r="D11" s="43" t="n">
        <v>2025000256</v>
      </c>
      <c r="E11" s="41" t="n">
        <v>80404824</v>
      </c>
      <c r="F11" s="44" t="inlineStr">
        <is>
          <t>ΒΑΒΑΤΣΙΚΟΣ ΔΗΜΗΤΡΙΟΣ</t>
        </is>
      </c>
      <c r="G11" s="44" t="inlineStr">
        <is>
          <t>ERGO Health Care Advanced (€500)</t>
        </is>
      </c>
      <c r="H11" s="41" t="inlineStr">
        <is>
          <t>160251127</t>
        </is>
      </c>
      <c r="I11" s="41" t="inlineStr">
        <is>
          <t>6985987796</t>
        </is>
      </c>
      <c r="J11" s="45" t="inlineStr">
        <is>
          <t>DIMVAVATSIKOS@GMAIL.COM</t>
        </is>
      </c>
      <c r="K11" s="45" t="inlineStr">
        <is>
          <t>Καρπάθου 11, Πειραιάς ΤΚ 18539</t>
        </is>
      </c>
      <c r="L11" s="41" t="n">
        <v>1411</v>
      </c>
      <c r="M11" s="41" t="inlineStr">
        <is>
          <t>Ετήσια</t>
        </is>
      </c>
      <c r="N11" s="41" t="n">
        <v>2</v>
      </c>
      <c r="O11" s="41" t="n">
        <v>1</v>
      </c>
      <c r="P11" s="46" t="n">
        <v>-1309.8</v>
      </c>
      <c r="Q11" s="47" t="n">
        <v>0</v>
      </c>
      <c r="R11" s="47" t="n">
        <v>-1093.95</v>
      </c>
      <c r="S11" s="46" t="n">
        <v>-1093.95</v>
      </c>
      <c r="T11" s="47" t="n">
        <v>-265.07</v>
      </c>
      <c r="U11" s="48" t="n">
        <v>0.2423054070112894</v>
      </c>
      <c r="V11" s="46" t="n">
        <v>-53.01</v>
      </c>
      <c r="W11" s="48" t="n">
        <v>0.1999849096465085</v>
      </c>
      <c r="X11" s="46" t="n">
        <v>-53.01</v>
      </c>
      <c r="Y11" s="49" t="inlineStr">
        <is>
          <t>Συμψηφισμός 0,00 € (Ακύρωση/Επανεγγραφή)</t>
        </is>
      </c>
    </row>
    <row r="12" ht="20" customHeight="1">
      <c r="A12" s="13" t="n">
        <v>7</v>
      </c>
      <c r="B12" s="13" t="inlineStr">
        <is>
          <t>17/2/2026</t>
        </is>
      </c>
      <c r="C12" s="13" t="inlineStr">
        <is>
          <t>02/2026</t>
        </is>
      </c>
      <c r="D12" s="21" t="n">
        <v>2021000340</v>
      </c>
      <c r="E12" s="13" t="n">
        <v>80405097</v>
      </c>
      <c r="F12" s="5" t="inlineStr">
        <is>
          <t>ΚΟΥΠΑΛΟΓΛΟΥ ΑΒΑΠΤΙΣΤΟ</t>
        </is>
      </c>
      <c r="G12" s="5" t="inlineStr">
        <is>
          <t>ERGO Health Care Advanced</t>
        </is>
      </c>
      <c r="H12" s="13" t="inlineStr">
        <is>
          <t>-</t>
        </is>
      </c>
      <c r="I12" s="13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13" t="n">
        <v>1411</v>
      </c>
      <c r="M12" s="13" t="inlineStr">
        <is>
          <t>Ετήσια</t>
        </is>
      </c>
      <c r="N12" s="13" t="n">
        <v>6</v>
      </c>
      <c r="O12" s="13" t="n">
        <v>1</v>
      </c>
      <c r="P12" s="34" t="n">
        <v>359.74</v>
      </c>
      <c r="Q12" s="39" t="n">
        <v>0</v>
      </c>
      <c r="R12" s="39" t="n">
        <v>359.74</v>
      </c>
      <c r="S12" s="34" t="n">
        <v>359.74</v>
      </c>
      <c r="T12" s="39" t="n">
        <v>89.94</v>
      </c>
      <c r="U12" s="14" t="n">
        <v>0.2500138989270028</v>
      </c>
      <c r="V12" s="34" t="n">
        <v>0</v>
      </c>
      <c r="W12" s="14" t="n">
        <v>0</v>
      </c>
      <c r="X12" s="34" t="n">
        <v>0</v>
      </c>
      <c r="Y12" s="5" t="inlineStr">
        <is>
          <t>Ανανέωση (6ο Έτος)</t>
        </is>
      </c>
    </row>
    <row r="13" ht="20" customHeight="1">
      <c r="A13" s="11" t="n">
        <v>8</v>
      </c>
      <c r="B13" s="11" t="inlineStr">
        <is>
          <t>24/2/2026</t>
        </is>
      </c>
      <c r="C13" s="11" t="inlineStr">
        <is>
          <t>03/2026</t>
        </is>
      </c>
      <c r="D13" s="20" t="n">
        <v>2026000457</v>
      </c>
      <c r="E13" s="11" t="n">
        <v>126592</v>
      </c>
      <c r="F13" s="7" t="inlineStr">
        <is>
          <t>ΜΟΥΛΑΚΑΚΗΣ ΓΡΗΓΟΡΙΟΣ (FTTB IKE)</t>
        </is>
      </c>
      <c r="G13" s="7" t="inlineStr">
        <is>
          <t>Ασφάλιση Ζωής &amp; Ατυχήματος (Standard Life)</t>
        </is>
      </c>
      <c r="H13" s="11" t="inlineStr">
        <is>
          <t>800769452</t>
        </is>
      </c>
      <c r="I13" s="11" t="inlineStr">
        <is>
          <t>6948487836</t>
        </is>
      </c>
      <c r="J13" s="8" t="inlineStr">
        <is>
          <t>GMULAKAKIS@GMAIL.COM</t>
        </is>
      </c>
      <c r="K13" s="8" t="inlineStr">
        <is>
          <t>Πολυτεχνείου 3, Γάζι ΤΚ 71414</t>
        </is>
      </c>
      <c r="L13" s="11" t="n">
        <v>1411</v>
      </c>
      <c r="M13" s="11" t="inlineStr">
        <is>
          <t>Ετήσια</t>
        </is>
      </c>
      <c r="N13" s="11" t="n">
        <v>1</v>
      </c>
      <c r="O13" s="11" t="n">
        <v>20</v>
      </c>
      <c r="P13" s="23" t="n">
        <v>966.6</v>
      </c>
      <c r="Q13" s="40" t="n">
        <v>390.36</v>
      </c>
      <c r="R13" s="40" t="n">
        <v>483.8</v>
      </c>
      <c r="S13" s="23" t="n">
        <v>874.16</v>
      </c>
      <c r="T13" s="40" t="n">
        <v>238.11</v>
      </c>
      <c r="U13" s="12" t="n">
        <v>0.2723872060034777</v>
      </c>
      <c r="V13" s="23" t="n">
        <v>47.63</v>
      </c>
      <c r="W13" s="12" t="n">
        <v>0.2000335979169292</v>
      </c>
      <c r="X13" s="23" t="n">
        <v>47.63</v>
      </c>
      <c r="Y13" s="7" t="inlineStr">
        <is>
          <t>Νέα Παραγωγή (1ο Έτος)</t>
        </is>
      </c>
    </row>
    <row r="14" ht="20" customHeight="1">
      <c r="A14" s="13" t="n">
        <v>9</v>
      </c>
      <c r="B14" s="13" t="inlineStr">
        <is>
          <t>21/3/2026</t>
        </is>
      </c>
      <c r="C14" s="13" t="inlineStr">
        <is>
          <t>03/2026</t>
        </is>
      </c>
      <c r="D14" s="21" t="n">
        <v>296632</v>
      </c>
      <c r="E14" s="13" t="n">
        <v>80409917</v>
      </c>
      <c r="F14" s="5" t="inlineStr">
        <is>
          <t>ΚΟΝΤΟΣ ΚΩΝΣΤΑΝΤΙΝΟΣ</t>
        </is>
      </c>
      <c r="G14" s="5" t="inlineStr">
        <is>
          <t>Κλασικό Πρόγραμμα Ζωής &amp; Νοσοκομειακό</t>
        </is>
      </c>
      <c r="H14" s="13" t="inlineStr">
        <is>
          <t>124778260</t>
        </is>
      </c>
      <c r="I14" s="13" t="inlineStr">
        <is>
          <t>6977046967</t>
        </is>
      </c>
      <c r="J14" s="6" t="inlineStr">
        <is>
          <t>-</t>
        </is>
      </c>
      <c r="K14" s="6" t="inlineStr">
        <is>
          <t>Συν/ρχη Πλέσσα 84, Καλλιθέα ΤΚ 17674</t>
        </is>
      </c>
      <c r="L14" s="13" t="n">
        <v>1411</v>
      </c>
      <c r="M14" s="13" t="inlineStr">
        <is>
          <t>Τριμηνιαία</t>
        </is>
      </c>
      <c r="N14" s="13" t="n">
        <v>27</v>
      </c>
      <c r="O14" s="13" t="n">
        <v>99</v>
      </c>
      <c r="P14" s="34" t="n">
        <v>252.9</v>
      </c>
      <c r="Q14" s="39" t="n">
        <v>16.57</v>
      </c>
      <c r="R14" s="39" t="n">
        <v>199.54</v>
      </c>
      <c r="S14" s="34" t="n">
        <v>216.11</v>
      </c>
      <c r="T14" s="39" t="n">
        <v>0</v>
      </c>
      <c r="U14" s="14" t="n">
        <v>0</v>
      </c>
      <c r="V14" s="34" t="n">
        <v>0</v>
      </c>
      <c r="W14" s="14" t="n">
        <v>0</v>
      </c>
      <c r="X14" s="34" t="n">
        <v>0</v>
      </c>
      <c r="Y14" s="5" t="inlineStr">
        <is>
          <t>Ανανέωση (27ο Έτος)</t>
        </is>
      </c>
    </row>
    <row r="15" ht="20" customHeight="1">
      <c r="A15" s="11" t="n">
        <v>10</v>
      </c>
      <c r="B15" s="11" t="inlineStr">
        <is>
          <t>27/3/2026</t>
        </is>
      </c>
      <c r="C15" s="11" t="inlineStr">
        <is>
          <t>03/2026</t>
        </is>
      </c>
      <c r="D15" s="20" t="n">
        <v>2022005568</v>
      </c>
      <c r="E15" s="11" t="n">
        <v>80410903</v>
      </c>
      <c r="F15" s="7" t="inlineStr">
        <is>
          <t>ΣΑΡΑΦΙΔΟΥ ΕΛΕΝΗ</t>
        </is>
      </c>
      <c r="G15" s="7" t="inlineStr">
        <is>
          <t>ERGO My Saving Simple</t>
        </is>
      </c>
      <c r="H15" s="11" t="inlineStr">
        <is>
          <t>-</t>
        </is>
      </c>
      <c r="I15" s="11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11" t="n">
        <v>1411</v>
      </c>
      <c r="M15" s="11" t="inlineStr">
        <is>
          <t>Εξαμηνιαία</t>
        </is>
      </c>
      <c r="N15" s="11" t="n">
        <v>4</v>
      </c>
      <c r="O15" s="11" t="n">
        <v>25</v>
      </c>
      <c r="P15" s="23" t="n">
        <v>75</v>
      </c>
      <c r="Q15" s="40" t="n">
        <v>63.92</v>
      </c>
      <c r="R15" s="40" t="n">
        <v>8.970000000000001</v>
      </c>
      <c r="S15" s="23" t="n">
        <v>72.89</v>
      </c>
      <c r="T15" s="40" t="n">
        <v>6.18</v>
      </c>
      <c r="U15" s="12" t="n">
        <v>0.08478529290712031</v>
      </c>
      <c r="V15" s="23" t="n">
        <v>0</v>
      </c>
      <c r="W15" s="12" t="n">
        <v>0</v>
      </c>
      <c r="X15" s="23" t="n">
        <v>0</v>
      </c>
      <c r="Y15" s="7" t="inlineStr">
        <is>
          <t>Ανανέωση (4ο Έτος)</t>
        </is>
      </c>
    </row>
    <row r="16" ht="20" customHeight="1">
      <c r="A16" s="13" t="n">
        <v>11</v>
      </c>
      <c r="B16" s="13" t="inlineStr">
        <is>
          <t>27/3/2026</t>
        </is>
      </c>
      <c r="C16" s="13" t="inlineStr">
        <is>
          <t>03/2026</t>
        </is>
      </c>
      <c r="D16" s="21" t="n">
        <v>2025001066</v>
      </c>
      <c r="E16" s="13" t="n">
        <v>80410942</v>
      </c>
      <c r="F16" s="5" t="inlineStr">
        <is>
          <t>ΚΑΤΣΙΓΙΑΝΝΑΚΗ ΚΑΛΛΙΟΠΗ</t>
        </is>
      </c>
      <c r="G16" s="5" t="inlineStr">
        <is>
          <t>ERGO Health Care Simple</t>
        </is>
      </c>
      <c r="H16" s="13" t="inlineStr">
        <is>
          <t>-</t>
        </is>
      </c>
      <c r="I16" s="13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13" t="n">
        <v>1411</v>
      </c>
      <c r="M16" s="13" t="inlineStr">
        <is>
          <t>Τριμηνιαία</t>
        </is>
      </c>
      <c r="N16" s="13" t="n">
        <v>1</v>
      </c>
      <c r="O16" s="13" t="n">
        <v>15</v>
      </c>
      <c r="P16" s="34" t="n">
        <v>160</v>
      </c>
      <c r="Q16" s="39" t="n">
        <v>138.63</v>
      </c>
      <c r="R16" s="39" t="n">
        <v>7</v>
      </c>
      <c r="S16" s="34" t="n">
        <v>145.63</v>
      </c>
      <c r="T16" s="39" t="n">
        <v>0</v>
      </c>
      <c r="U16" s="14" t="n">
        <v>0</v>
      </c>
      <c r="V16" s="34" t="n">
        <v>3.56</v>
      </c>
      <c r="W16" s="14" t="n">
        <v>0.2</v>
      </c>
      <c r="X16" s="34" t="n">
        <v>3.56</v>
      </c>
      <c r="Y16" s="5" t="inlineStr">
        <is>
          <t>Νέα Παραγωγή (1ο Έτος)</t>
        </is>
      </c>
    </row>
    <row r="17" ht="20" customHeight="1">
      <c r="A17" s="11" t="n">
        <v>12</v>
      </c>
      <c r="B17" s="11" t="inlineStr">
        <is>
          <t>30/3/2026</t>
        </is>
      </c>
      <c r="C17" s="11" t="inlineStr">
        <is>
          <t>03/2026</t>
        </is>
      </c>
      <c r="D17" s="20" t="n">
        <v>2025001836</v>
      </c>
      <c r="E17" s="11" t="n">
        <v>80411824</v>
      </c>
      <c r="F17" s="7" t="inlineStr">
        <is>
          <t>ΣΤΕΡΓΙΟΥ ΑΒΑΠΤΙΣΤΟ</t>
        </is>
      </c>
      <c r="G17" s="7" t="inlineStr">
        <is>
          <t>ERGO Health Care Simple</t>
        </is>
      </c>
      <c r="H17" s="11" t="inlineStr">
        <is>
          <t>-</t>
        </is>
      </c>
      <c r="I17" s="11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11" t="n">
        <v>1411</v>
      </c>
      <c r="M17" s="11" t="inlineStr">
        <is>
          <t>Τριμηνιαία</t>
        </is>
      </c>
      <c r="N17" s="11" t="n">
        <v>1</v>
      </c>
      <c r="O17" s="11" t="n">
        <v>1</v>
      </c>
      <c r="P17" s="23" t="n">
        <v>195</v>
      </c>
      <c r="Q17" s="40" t="n">
        <v>0</v>
      </c>
      <c r="R17" s="40" t="n">
        <v>174.8</v>
      </c>
      <c r="S17" s="23" t="n">
        <v>174.8</v>
      </c>
      <c r="T17" s="40" t="n">
        <v>0</v>
      </c>
      <c r="U17" s="12" t="n">
        <v>0</v>
      </c>
      <c r="V17" s="23" t="n">
        <v>9.84</v>
      </c>
      <c r="W17" s="12" t="n">
        <v>0.2</v>
      </c>
      <c r="X17" s="23" t="n">
        <v>9.84</v>
      </c>
      <c r="Y17" s="7" t="inlineStr">
        <is>
          <t>Νέα Παραγωγή (1ο Έτος)</t>
        </is>
      </c>
    </row>
    <row r="18" ht="20" customHeight="1">
      <c r="A18" s="13" t="n">
        <v>13</v>
      </c>
      <c r="B18" s="13" t="inlineStr">
        <is>
          <t>5/4/2026</t>
        </is>
      </c>
      <c r="C18" s="13" t="inlineStr">
        <is>
          <t>05/2026</t>
        </is>
      </c>
      <c r="D18" s="21" t="n">
        <v>2023001613</v>
      </c>
      <c r="E18" s="13" t="n">
        <v>80412743</v>
      </c>
      <c r="F18" s="5" t="inlineStr">
        <is>
          <t>ΤΑΡΑΝΗΣ ΙΓΝΑΤΙΟΣ</t>
        </is>
      </c>
      <c r="G18" s="5" t="inlineStr">
        <is>
          <t>ERGO Health Care Advanced (€3.000)</t>
        </is>
      </c>
      <c r="H18" s="13" t="inlineStr">
        <is>
          <t>111087841</t>
        </is>
      </c>
      <c r="I18" s="13" t="inlineStr">
        <is>
          <t>6978650501</t>
        </is>
      </c>
      <c r="J18" s="6" t="inlineStr">
        <is>
          <t>-</t>
        </is>
      </c>
      <c r="K18" s="6" t="inlineStr">
        <is>
          <t>Στρ. Μυριβήλη 40, Μυτιλήνη ΤΚ 81100</t>
        </is>
      </c>
      <c r="L18" s="13" t="n">
        <v>1411</v>
      </c>
      <c r="M18" s="13" t="inlineStr">
        <is>
          <t>Ετήσια</t>
        </is>
      </c>
      <c r="N18" s="13" t="n">
        <v>4</v>
      </c>
      <c r="O18" s="13" t="n">
        <v>1</v>
      </c>
      <c r="P18" s="34" t="n">
        <v>247.37</v>
      </c>
      <c r="Q18" s="39" t="n">
        <v>0</v>
      </c>
      <c r="R18" s="39" t="n">
        <v>202.37</v>
      </c>
      <c r="S18" s="34" t="n">
        <v>202.37</v>
      </c>
      <c r="T18" s="39" t="n">
        <v>50.59</v>
      </c>
      <c r="U18" s="14" t="n">
        <v>0.2499876463902752</v>
      </c>
      <c r="V18" s="34" t="n">
        <v>10.12</v>
      </c>
      <c r="W18" s="14" t="n">
        <v>0.2000395335046452</v>
      </c>
      <c r="X18" s="34" t="n">
        <v>10.12</v>
      </c>
      <c r="Y18" s="5" t="inlineStr">
        <is>
          <t>Ανανέωση (4ο Έτος)</t>
        </is>
      </c>
    </row>
    <row r="19" ht="20" customHeight="1">
      <c r="A19" s="11" t="n">
        <v>14</v>
      </c>
      <c r="B19" s="11" t="inlineStr">
        <is>
          <t>8/4/2026</t>
        </is>
      </c>
      <c r="C19" s="11" t="inlineStr">
        <is>
          <t>04/2026</t>
        </is>
      </c>
      <c r="D19" s="20" t="n">
        <v>2026000765</v>
      </c>
      <c r="E19" s="11" t="n">
        <v>126897</v>
      </c>
      <c r="F19" s="7" t="inlineStr">
        <is>
          <t>ΠΑΛΙΑΤΣΑΣ ΑΘΑΝΑΣΙΟΣ</t>
        </is>
      </c>
      <c r="G19" s="7" t="inlineStr">
        <is>
          <t>ERGO Health Care Superior (€1.500)</t>
        </is>
      </c>
      <c r="H19" s="11" t="inlineStr">
        <is>
          <t>135971330</t>
        </is>
      </c>
      <c r="I19" s="11" t="inlineStr">
        <is>
          <t>6947904961</t>
        </is>
      </c>
      <c r="J19" s="8" t="inlineStr">
        <is>
          <t>THANASISPALIATSAS@GMAIL.COM</t>
        </is>
      </c>
      <c r="K19" s="8" t="inlineStr">
        <is>
          <t>Αιτωλικού 98, Μεσολόγγι ΤΚ 30200</t>
        </is>
      </c>
      <c r="L19" s="11" t="n">
        <v>1411</v>
      </c>
      <c r="M19" s="11" t="inlineStr">
        <is>
          <t>Ετήσια</t>
        </is>
      </c>
      <c r="N19" s="11" t="n">
        <v>1</v>
      </c>
      <c r="O19" s="11" t="n">
        <v>1</v>
      </c>
      <c r="P19" s="23" t="n">
        <v>817.8</v>
      </c>
      <c r="Q19" s="40" t="n">
        <v>0</v>
      </c>
      <c r="R19" s="40" t="n">
        <v>666.12</v>
      </c>
      <c r="S19" s="23" t="n">
        <v>666.12</v>
      </c>
      <c r="T19" s="40" t="n">
        <v>193.17</v>
      </c>
      <c r="U19" s="12" t="n">
        <v>0.2899927940911547</v>
      </c>
      <c r="V19" s="23" t="n">
        <v>38.63</v>
      </c>
      <c r="W19" s="12" t="n">
        <v>0.1999792928508568</v>
      </c>
      <c r="X19" s="23" t="n">
        <v>38.63</v>
      </c>
      <c r="Y19" s="7" t="inlineStr">
        <is>
          <t>Νέα Παραγωγή (1ο Έτος)</t>
        </is>
      </c>
    </row>
    <row r="20" ht="20" customHeight="1">
      <c r="A20" s="13" t="n">
        <v>15</v>
      </c>
      <c r="B20" s="13" t="inlineStr">
        <is>
          <t>27/4/2026</t>
        </is>
      </c>
      <c r="C20" s="13" t="inlineStr">
        <is>
          <t>04/2026</t>
        </is>
      </c>
      <c r="D20" s="21" t="n">
        <v>2026000161</v>
      </c>
      <c r="E20" s="13" t="n">
        <v>80415871</v>
      </c>
      <c r="F20" s="5" t="inlineStr">
        <is>
          <t>ΤΕΖΚΟΣΑΡ ΑΓΛΑΙΑ</t>
        </is>
      </c>
      <c r="G20" s="5" t="inlineStr">
        <is>
          <t>ERGO Health Care Simple (€500) + Affidea</t>
        </is>
      </c>
      <c r="H20" s="13" t="inlineStr">
        <is>
          <t>141624244</t>
        </is>
      </c>
      <c r="I20" s="13" t="inlineStr">
        <is>
          <t>6970030570</t>
        </is>
      </c>
      <c r="J20" s="6" t="inlineStr">
        <is>
          <t>hrisafaki@gmail.com</t>
        </is>
      </c>
      <c r="K20" s="6" t="inlineStr">
        <is>
          <t>Αφροδίτης 47-49, Παλαιό Φάληρο ΤΚ 17561</t>
        </is>
      </c>
      <c r="L20" s="13" t="n">
        <v>1411</v>
      </c>
      <c r="M20" s="13" t="inlineStr">
        <is>
          <t>Τριμηνιαία</t>
        </is>
      </c>
      <c r="N20" s="13" t="n">
        <v>1</v>
      </c>
      <c r="O20" s="13" t="n">
        <v>1</v>
      </c>
      <c r="P20" s="34" t="n">
        <v>475.5</v>
      </c>
      <c r="Q20" s="39" t="n">
        <v>0</v>
      </c>
      <c r="R20" s="39" t="n">
        <v>414.55</v>
      </c>
      <c r="S20" s="34" t="n">
        <v>414.55</v>
      </c>
      <c r="T20" s="39" t="n">
        <v>116.18</v>
      </c>
      <c r="U20" s="14" t="n">
        <v>0.2802556989506694</v>
      </c>
      <c r="V20" s="34" t="n">
        <v>23.24</v>
      </c>
      <c r="W20" s="14" t="n">
        <v>0.2000344293337924</v>
      </c>
      <c r="X20" s="34" t="n">
        <v>23.24</v>
      </c>
      <c r="Y20" s="5" t="inlineStr">
        <is>
          <t>Νέα Παραγωγή (1ο Έτος)</t>
        </is>
      </c>
    </row>
    <row r="21" ht="20" customHeight="1">
      <c r="A21" s="11" t="n">
        <v>16</v>
      </c>
      <c r="B21" s="11" t="inlineStr">
        <is>
          <t>21/6/2026</t>
        </is>
      </c>
      <c r="C21" s="11" t="inlineStr">
        <is>
          <t>06/2026</t>
        </is>
      </c>
      <c r="D21" s="20" t="n">
        <v>296632</v>
      </c>
      <c r="E21" s="11" t="n">
        <v>80424650</v>
      </c>
      <c r="F21" s="7" t="inlineStr">
        <is>
          <t>ΚΟΝΤΟΣ ΚΩΝΣΤΑΝΤΙΝΟΣ</t>
        </is>
      </c>
      <c r="G21" s="7" t="inlineStr">
        <is>
          <t>Κλασικό Πρόγραμμα Ζωής &amp; Νοσοκομειακό</t>
        </is>
      </c>
      <c r="H21" s="11" t="inlineStr">
        <is>
          <t>124778260</t>
        </is>
      </c>
      <c r="I21" s="11" t="inlineStr">
        <is>
          <t>6977046967</t>
        </is>
      </c>
      <c r="J21" s="8" t="inlineStr">
        <is>
          <t>-</t>
        </is>
      </c>
      <c r="K21" s="8" t="inlineStr">
        <is>
          <t>Συν/ρχη Πλέσσα 84, Καλλιθέα ΤΚ 17674</t>
        </is>
      </c>
      <c r="L21" s="11" t="n">
        <v>1411</v>
      </c>
      <c r="M21" s="11" t="inlineStr">
        <is>
          <t>Τριμηνιαία</t>
        </is>
      </c>
      <c r="N21" s="11" t="n">
        <v>28</v>
      </c>
      <c r="O21" s="11" t="n">
        <v>99</v>
      </c>
      <c r="P21" s="23" t="n">
        <v>279</v>
      </c>
      <c r="Q21" s="40" t="n">
        <v>16.57</v>
      </c>
      <c r="R21" s="40" t="n">
        <v>222.37</v>
      </c>
      <c r="S21" s="23" t="n">
        <v>238.94</v>
      </c>
      <c r="T21" s="40" t="n">
        <v>0</v>
      </c>
      <c r="U21" s="12" t="n">
        <v>0</v>
      </c>
      <c r="V21" s="23" t="n">
        <v>0</v>
      </c>
      <c r="W21" s="12" t="n">
        <v>0</v>
      </c>
      <c r="X21" s="23" t="n">
        <v>0</v>
      </c>
      <c r="Y21" s="7" t="inlineStr">
        <is>
          <t>Ανανέωση (28ο Έτος)</t>
        </is>
      </c>
    </row>
    <row r="22" ht="20" customHeight="1">
      <c r="A22" s="13" t="n">
        <v>17</v>
      </c>
      <c r="B22" s="13" t="inlineStr">
        <is>
          <t>27/6/2026</t>
        </is>
      </c>
      <c r="C22" s="13" t="inlineStr">
        <is>
          <t>07/2026</t>
        </is>
      </c>
      <c r="D22" s="21" t="n">
        <v>2025001066</v>
      </c>
      <c r="E22" s="13" t="n">
        <v>80425699</v>
      </c>
      <c r="F22" s="5" t="inlineStr">
        <is>
          <t>ΚΑΤΣΙΓΙΑΝΝΑΚΗ ΚΑΛΛΙΟΠΗ</t>
        </is>
      </c>
      <c r="G22" s="5" t="inlineStr">
        <is>
          <t>ERGO Health Care Simple</t>
        </is>
      </c>
      <c r="H22" s="13" t="inlineStr">
        <is>
          <t>-</t>
        </is>
      </c>
      <c r="I22" s="13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13" t="n">
        <v>1411</v>
      </c>
      <c r="M22" s="13" t="inlineStr">
        <is>
          <t>Τριμηνιαία</t>
        </is>
      </c>
      <c r="N22" s="13" t="n">
        <v>2</v>
      </c>
      <c r="O22" s="13" t="n">
        <v>15</v>
      </c>
      <c r="P22" s="34" t="n">
        <v>160</v>
      </c>
      <c r="Q22" s="39" t="n">
        <v>138.63</v>
      </c>
      <c r="R22" s="39" t="n">
        <v>7</v>
      </c>
      <c r="S22" s="34" t="n">
        <v>145.63</v>
      </c>
      <c r="T22" s="39" t="n">
        <v>0</v>
      </c>
      <c r="U22" s="14" t="n">
        <v>0</v>
      </c>
      <c r="V22" s="34" t="n">
        <v>2.88</v>
      </c>
      <c r="W22" s="14" t="n">
        <v>0.2</v>
      </c>
      <c r="X22" s="34" t="n">
        <v>2.88</v>
      </c>
      <c r="Y22" s="5" t="inlineStr">
        <is>
          <t>Ανανέωση (2ο Έτος)</t>
        </is>
      </c>
    </row>
    <row r="23" ht="20" customHeight="1">
      <c r="A23" s="11" t="n">
        <v>18</v>
      </c>
      <c r="B23" s="11" t="inlineStr">
        <is>
          <t>30/6/2026</t>
        </is>
      </c>
      <c r="C23" s="11" t="inlineStr">
        <is>
          <t>06/2026</t>
        </is>
      </c>
      <c r="D23" s="20" t="n">
        <v>2025001836</v>
      </c>
      <c r="E23" s="11" t="n">
        <v>80426820</v>
      </c>
      <c r="F23" s="7" t="inlineStr">
        <is>
          <t>ΣΤΕΡΓΙΟΥ ΑΒΑΠΤΙΣΤΟ</t>
        </is>
      </c>
      <c r="G23" s="7" t="inlineStr">
        <is>
          <t>ERGO Health Care Simple</t>
        </is>
      </c>
      <c r="H23" s="11" t="inlineStr">
        <is>
          <t>-</t>
        </is>
      </c>
      <c r="I23" s="11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11" t="n">
        <v>1411</v>
      </c>
      <c r="M23" s="11" t="inlineStr">
        <is>
          <t>Τριμηνιαία</t>
        </is>
      </c>
      <c r="N23" s="11" t="n">
        <v>1</v>
      </c>
      <c r="O23" s="11" t="n">
        <v>1</v>
      </c>
      <c r="P23" s="23" t="n">
        <v>195</v>
      </c>
      <c r="Q23" s="40" t="n">
        <v>0</v>
      </c>
      <c r="R23" s="40" t="n">
        <v>174.8</v>
      </c>
      <c r="S23" s="23" t="n">
        <v>174.8</v>
      </c>
      <c r="T23" s="40" t="n">
        <v>0</v>
      </c>
      <c r="U23" s="12" t="n">
        <v>0</v>
      </c>
      <c r="V23" s="23" t="n">
        <v>9.84</v>
      </c>
      <c r="W23" s="12" t="n">
        <v>0.2</v>
      </c>
      <c r="X23" s="23" t="n">
        <v>9.84</v>
      </c>
      <c r="Y23" s="7" t="inlineStr">
        <is>
          <t>Νέα Παραγωγή (1ο Έτος)</t>
        </is>
      </c>
    </row>
    <row r="24" ht="20" customHeight="1">
      <c r="A24" s="13" t="n">
        <v>19</v>
      </c>
      <c r="B24" s="13" t="inlineStr">
        <is>
          <t>13/7/2026</t>
        </is>
      </c>
      <c r="C24" s="13" t="inlineStr">
        <is>
          <t>07/2026</t>
        </is>
      </c>
      <c r="D24" s="21" t="n">
        <v>2025000058</v>
      </c>
      <c r="E24" s="13" t="n">
        <v>80428604</v>
      </c>
      <c r="F24" s="5" t="inlineStr">
        <is>
          <t>ΤΣΑΠΡΑΛΗΣ ΚΩΝΣΤΑΝΤΙΝΟΣ</t>
        </is>
      </c>
      <c r="G24" s="5" t="inlineStr">
        <is>
          <t>ERGO Best Health</t>
        </is>
      </c>
      <c r="H24" s="13" t="inlineStr">
        <is>
          <t>-</t>
        </is>
      </c>
      <c r="I24" s="13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13" t="n">
        <v>1411</v>
      </c>
      <c r="M24" s="13" t="inlineStr">
        <is>
          <t>Εξαμηνιαία</t>
        </is>
      </c>
      <c r="N24" s="13" t="n">
        <v>2</v>
      </c>
      <c r="O24" s="13" t="n">
        <v>1</v>
      </c>
      <c r="P24" s="34" t="n">
        <v>350</v>
      </c>
      <c r="Q24" s="39" t="n">
        <v>0</v>
      </c>
      <c r="R24" s="39" t="n">
        <v>322.09</v>
      </c>
      <c r="S24" s="34" t="n">
        <v>322.09</v>
      </c>
      <c r="T24" s="39" t="n">
        <v>0</v>
      </c>
      <c r="U24" s="14" t="n">
        <v>0</v>
      </c>
      <c r="V24" s="34" t="n">
        <v>15.79</v>
      </c>
      <c r="W24" s="14" t="n">
        <v>0.2</v>
      </c>
      <c r="X24" s="34" t="n">
        <v>15.79</v>
      </c>
      <c r="Y24" s="5" t="inlineStr">
        <is>
          <t>Ανανέωση (2ο Έτος)</t>
        </is>
      </c>
    </row>
    <row r="25" ht="20" customHeight="1">
      <c r="A25" s="11" t="n">
        <v>20</v>
      </c>
      <c r="B25" s="11" t="inlineStr">
        <is>
          <t>27/7/2026</t>
        </is>
      </c>
      <c r="C25" s="11" t="inlineStr">
        <is>
          <t>07/2026</t>
        </is>
      </c>
      <c r="D25" s="20" t="n">
        <v>2026000161</v>
      </c>
      <c r="E25" s="11" t="n">
        <v>80430703</v>
      </c>
      <c r="F25" s="7" t="inlineStr">
        <is>
          <t>ΤΕΖΚΟΣΑΡ ΑΓΛΑΙΑ</t>
        </is>
      </c>
      <c r="G25" s="7" t="inlineStr">
        <is>
          <t>ERGO Health Care Simple (€500) + Affidea</t>
        </is>
      </c>
      <c r="H25" s="11" t="inlineStr">
        <is>
          <t>141624244</t>
        </is>
      </c>
      <c r="I25" s="11" t="inlineStr">
        <is>
          <t>6970030570</t>
        </is>
      </c>
      <c r="J25" s="8" t="inlineStr">
        <is>
          <t>hrisafaki@gmail.com</t>
        </is>
      </c>
      <c r="K25" s="8" t="inlineStr">
        <is>
          <t>Αφροδίτης 47-49, Παλαιό Φάληρο ΤΚ 17561</t>
        </is>
      </c>
      <c r="L25" s="11" t="n">
        <v>1411</v>
      </c>
      <c r="M25" s="11" t="inlineStr">
        <is>
          <t>Τριμηνιαία</t>
        </is>
      </c>
      <c r="N25" s="11" t="n">
        <v>1</v>
      </c>
      <c r="O25" s="11" t="n">
        <v>1</v>
      </c>
      <c r="P25" s="23" t="n">
        <v>475.5</v>
      </c>
      <c r="Q25" s="40" t="n">
        <v>0</v>
      </c>
      <c r="R25" s="40" t="n">
        <v>414.55</v>
      </c>
      <c r="S25" s="23" t="n">
        <v>414.55</v>
      </c>
      <c r="T25" s="40" t="n">
        <v>116.18</v>
      </c>
      <c r="U25" s="12" t="n">
        <v>0.2802556989506694</v>
      </c>
      <c r="V25" s="23" t="n">
        <v>23.24</v>
      </c>
      <c r="W25" s="12" t="n">
        <v>0.2000344293337924</v>
      </c>
      <c r="X25" s="23" t="n">
        <v>23.24</v>
      </c>
      <c r="Y25" s="7" t="inlineStr">
        <is>
          <t>Νέα Παραγωγή (1ο Έτος)</t>
        </is>
      </c>
    </row>
    <row r="26" ht="24" customHeight="1">
      <c r="A26" s="50" t="inlineStr">
        <is>
          <t>ΓΕΝΙΚΑ ΣΥΝΟΛΑ 2026: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2">
        <f>SUM(P6:P25)</f>
        <v/>
      </c>
      <c r="Q26" s="52">
        <f>SUM(Q6:Q25)</f>
        <v/>
      </c>
      <c r="R26" s="52">
        <f>SUM(R6:R25)</f>
        <v/>
      </c>
      <c r="S26" s="52">
        <f>SUM(S6:S25)</f>
        <v/>
      </c>
      <c r="T26" s="52">
        <f>SUM(T6:T25)</f>
        <v/>
      </c>
      <c r="U26" s="53">
        <f>ROUND(T26/S26, 4)</f>
        <v/>
      </c>
      <c r="V26" s="52">
        <f>SUM(V6:V25)</f>
        <v/>
      </c>
      <c r="W26" s="53">
        <f>ROUND(V26/T26, 4)</f>
        <v/>
      </c>
      <c r="X26" s="52">
        <f>SUM(X6:X25)</f>
        <v/>
      </c>
      <c r="Y26" s="51" t="n"/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35" customWidth="1" min="9" max="9"/>
    <col width="60" customWidth="1" min="10" max="10"/>
  </cols>
  <sheetData>
    <row r="1">
      <c r="A1" s="1" t="inlineStr">
        <is>
          <t>ΜΗΝΙΑΙΑ ΕΚΚΑΘΑΡΙΣΗ &amp; ΟΙΚΟΝΟΜΙΚΟΣ ΠΙΝΑΚΑΣ ΕΛΕΓΧΟΥ (KPI DASHBOARD)</t>
        </is>
      </c>
    </row>
    <row r="2">
      <c r="A2" s="2" t="inlineStr">
        <is>
          <t>Συγκεντρωτική Οικονομική Αποτίμηση, Ανάλυση Παραγωγής ανά Μήνα και Καθαρά Έσοδα Γραφείου 1411 (LANCA Ε.Ε.) για το 2026</t>
        </is>
      </c>
    </row>
    <row r="3"/>
    <row r="4">
      <c r="B4" s="54" t="inlineStr">
        <is>
          <t>ΣΥΝΟΛΙΚΑ ΜΙΚΤΑ ΑΣΦΑΛΙΣΤΡΑ</t>
        </is>
      </c>
      <c r="D4" s="54" t="inlineStr">
        <is>
          <t>ΣΥΝΟΛΙΚΑ ΚΑΘΑΡΑ ΑΣΦΑΛΙΣΤΡΑ</t>
        </is>
      </c>
      <c r="F4" s="55" t="inlineStr">
        <is>
          <t>ΣΥΝΟΛΟ ΠΡΟΜΗΘΕΙΩΝ ΣΥΝΕΡΓΑΤΩΝ</t>
        </is>
      </c>
      <c r="H4" s="56" t="inlineStr">
        <is>
          <t>ΣΥΝΟΛΟ ΥΠΕΡΠΡΟΜΗΘΕΙΩΝ 1411 (LANCA)</t>
        </is>
      </c>
    </row>
    <row r="5">
      <c r="B5" s="57">
        <f>'5. ΕΝΟΠΟΙΗΜΕΝΑ ΔΕΔΟΜΕΝΑ 2026'!P26</f>
        <v/>
      </c>
      <c r="D5" s="57">
        <f>'5. ΕΝΟΠΟΙΗΜΕΝΑ ΔΕΔΟΜΕΝΑ 2026'!S26</f>
        <v/>
      </c>
      <c r="F5" s="58">
        <f>'5. ΕΝΟΠΟΙΗΜΕΝΑ ΔΕΔΟΜΕΝΑ 2026'!T26</f>
        <v/>
      </c>
      <c r="H5" s="59">
        <f>'5. ΕΝΟΠΟΙΗΜΕΝΑ ΔΕΔΟΜΕΝΑ 2026'!V26</f>
        <v/>
      </c>
    </row>
    <row r="6"/>
    <row r="7"/>
    <row r="8">
      <c r="A8" s="3" t="inlineStr">
        <is>
          <t>Α. ΣΥΓΚΕΝΤΡΩΤΙΚΟΣ ΠΙΝΑΚΑΣ ΠΑΡΑΓΩΓΗΣ &amp; ΕΚΚΑΘΑΡΙΣΕΩΝ ΑΝΑ ΜΗΝΑ</t>
        </is>
      </c>
    </row>
    <row r="9" ht="26" customHeight="1">
      <c r="A9" s="4" t="inlineStr">
        <is>
          <t>Μήνας Έτους 2026</t>
        </is>
      </c>
      <c r="B9" s="4" t="inlineStr">
        <is>
          <t>Πλήθος Κινήσεων</t>
        </is>
      </c>
      <c r="C9" s="4" t="inlineStr">
        <is>
          <t>Μικτά Ασφάλιστρα (€)</t>
        </is>
      </c>
      <c r="D9" s="4" t="inlineStr">
        <is>
          <t>Καθαρά Ασφάλιστρα (€)</t>
        </is>
      </c>
      <c r="E9" s="4" t="inlineStr">
        <is>
          <t>Δικαιώματα &amp; Φόροι (€)</t>
        </is>
      </c>
      <c r="F9" s="4" t="inlineStr">
        <is>
          <t>Προμήθεια Παραγωγών (€)</t>
        </is>
      </c>
      <c r="G9" s="4" t="inlineStr">
        <is>
          <t>Μέση Προμήθεια %</t>
        </is>
      </c>
      <c r="H9" s="4" t="inlineStr">
        <is>
          <t>Υπερπρομήθεια Agency 1411 (€)</t>
        </is>
      </c>
      <c r="I9" s="4" t="inlineStr">
        <is>
          <t>Υπερπρομήθεια %</t>
        </is>
      </c>
      <c r="J9" s="4" t="inlineStr">
        <is>
          <t>Συνολική Εισροή 1411 (€)</t>
        </is>
      </c>
    </row>
    <row r="10" ht="22" customHeight="1">
      <c r="A10" s="31" t="inlineStr">
        <is>
          <t>02/2026</t>
        </is>
      </c>
      <c r="B10" s="60">
        <f>COUNTIF('5. ΕΝΟΠΟΙΗΜΕΝΑ ΔΕΔΟΜΕΝΑ 2026'!$C$6:$C$25, A10)</f>
        <v/>
      </c>
      <c r="C10" s="32">
        <f>SUMIF('5. ΕΝΟΠΟΙΗΜΕΝΑ ΔΕΔΟΜΕΝΑ 2026'!$C$6:$C$25, A10, '5. ΕΝΟΠΟΙΗΜΕΝΑ ΔΕΔΟΜΕΝΑ 2026'!$P$6:$P$25)</f>
        <v/>
      </c>
      <c r="D10" s="32">
        <f>SUMIF('5. ΕΝΟΠΟΙΗΜΕΝΑ ΔΕΔΟΜΕΝΑ 2026'!$C$6:$C$25, A10, '5. ΕΝΟΠΟΙΗΜΕΝΑ ΔΕΔΟΜΕΝΑ 2026'!$S$6:$S$25)</f>
        <v/>
      </c>
      <c r="E10" s="32">
        <f>C10-D10</f>
        <v/>
      </c>
      <c r="F10" s="32">
        <f>SUMIF('5. ΕΝΟΠΟΙΗΜΕΝΑ ΔΕΔΟΜΕΝΑ 2026'!$C$6:$C$25, A10, '5. ΕΝΟΠΟΙΗΜΕΝΑ ΔΕΔΟΜΕΝΑ 2026'!$T$6:$T$25)</f>
        <v/>
      </c>
      <c r="G10" s="33">
        <f>IF(D10=0, 0, ROUND(F10/D10, 4))</f>
        <v/>
      </c>
      <c r="H10" s="34">
        <f>SUMIF('5. ΕΝΟΠΟΙΗΜΕΝΑ ΔΕΔΟΜΕΝΑ 2026'!$C$6:$C$25, A10, '5. ΕΝΟΠΟΙΗΜΕΝΑ ΔΕΔΟΜΕΝΑ 2026'!$V$6:$V$25)</f>
        <v/>
      </c>
      <c r="I10" s="33">
        <f>IF(F10=0, 0, ROUND(H10/F10, 4))</f>
        <v/>
      </c>
      <c r="J10" s="34">
        <f>SUMIF('5. ΕΝΟΠΟΙΗΜΕΝΑ ΔΕΔΟΜΕΝΑ 2026'!$C$6:$C$25, A10, '5. ΕΝΟΠΟΙΗΜΕΝΑ ΔΕΔΟΜΕΝΑ 2026'!$X$6:$X$25)</f>
        <v/>
      </c>
    </row>
    <row r="11" ht="22" customHeight="1">
      <c r="A11" s="36" t="inlineStr">
        <is>
          <t>03/2026</t>
        </is>
      </c>
      <c r="B11" s="61">
        <f>COUNTIF('5. ΕΝΟΠΟΙΗΜΕΝΑ ΔΕΔΟΜΕΝΑ 2026'!$C$6:$C$25, A11)</f>
        <v/>
      </c>
      <c r="C11" s="37">
        <f>SUMIF('5. ΕΝΟΠΟΙΗΜΕΝΑ ΔΕΔΟΜΕΝΑ 2026'!$C$6:$C$25, A11, '5. ΕΝΟΠΟΙΗΜΕΝΑ ΔΕΔΟΜΕΝΑ 2026'!$P$6:$P$25)</f>
        <v/>
      </c>
      <c r="D11" s="37">
        <f>SUMIF('5. ΕΝΟΠΟΙΗΜΕΝΑ ΔΕΔΟΜΕΝΑ 2026'!$C$6:$C$25, A11, '5. ΕΝΟΠΟΙΗΜΕΝΑ ΔΕΔΟΜΕΝΑ 2026'!$S$6:$S$25)</f>
        <v/>
      </c>
      <c r="E11" s="37">
        <f>C11-D11</f>
        <v/>
      </c>
      <c r="F11" s="37">
        <f>SUMIF('5. ΕΝΟΠΟΙΗΜΕΝΑ ΔΕΔΟΜΕΝΑ 2026'!$C$6:$C$25, A11, '5. ΕΝΟΠΟΙΗΜΕΝΑ ΔΕΔΟΜΕΝΑ 2026'!$T$6:$T$25)</f>
        <v/>
      </c>
      <c r="G11" s="38">
        <f>IF(D11=0, 0, ROUND(F11/D11, 4))</f>
        <v/>
      </c>
      <c r="H11" s="23">
        <f>SUMIF('5. ΕΝΟΠΟΙΗΜΕΝΑ ΔΕΔΟΜΕΝΑ 2026'!$C$6:$C$25, A11, '5. ΕΝΟΠΟΙΗΜΕΝΑ ΔΕΔΟΜΕΝΑ 2026'!$V$6:$V$25)</f>
        <v/>
      </c>
      <c r="I11" s="38">
        <f>IF(F11=0, 0, ROUND(H11/F11, 4))</f>
        <v/>
      </c>
      <c r="J11" s="23">
        <f>SUMIF('5. ΕΝΟΠΟΙΗΜΕΝΑ ΔΕΔΟΜΕΝΑ 2026'!$C$6:$C$25, A11, '5. ΕΝΟΠΟΙΗΜΕΝΑ ΔΕΔΟΜΕΝΑ 2026'!$X$6:$X$25)</f>
        <v/>
      </c>
    </row>
    <row r="12" ht="22" customHeight="1">
      <c r="A12" s="31" t="inlineStr">
        <is>
          <t>04/2026</t>
        </is>
      </c>
      <c r="B12" s="60">
        <f>COUNTIF('5. ΕΝΟΠΟΙΗΜΕΝΑ ΔΕΔΟΜΕΝΑ 2026'!$C$6:$C$25, A12)</f>
        <v/>
      </c>
      <c r="C12" s="32">
        <f>SUMIF('5. ΕΝΟΠΟΙΗΜΕΝΑ ΔΕΔΟΜΕΝΑ 2026'!$C$6:$C$25, A12, '5. ΕΝΟΠΟΙΗΜΕΝΑ ΔΕΔΟΜΕΝΑ 2026'!$P$6:$P$25)</f>
        <v/>
      </c>
      <c r="D12" s="32">
        <f>SUMIF('5. ΕΝΟΠΟΙΗΜΕΝΑ ΔΕΔΟΜΕΝΑ 2026'!$C$6:$C$25, A12, '5. ΕΝΟΠΟΙΗΜΕΝΑ ΔΕΔΟΜΕΝΑ 2026'!$S$6:$S$25)</f>
        <v/>
      </c>
      <c r="E12" s="32">
        <f>C12-D12</f>
        <v/>
      </c>
      <c r="F12" s="32">
        <f>SUMIF('5. ΕΝΟΠΟΙΗΜΕΝΑ ΔΕΔΟΜΕΝΑ 2026'!$C$6:$C$25, A12, '5. ΕΝΟΠΟΙΗΜΕΝΑ ΔΕΔΟΜΕΝΑ 2026'!$T$6:$T$25)</f>
        <v/>
      </c>
      <c r="G12" s="33">
        <f>IF(D12=0, 0, ROUND(F12/D12, 4))</f>
        <v/>
      </c>
      <c r="H12" s="34">
        <f>SUMIF('5. ΕΝΟΠΟΙΗΜΕΝΑ ΔΕΔΟΜΕΝΑ 2026'!$C$6:$C$25, A12, '5. ΕΝΟΠΟΙΗΜΕΝΑ ΔΕΔΟΜΕΝΑ 2026'!$V$6:$V$25)</f>
        <v/>
      </c>
      <c r="I12" s="33">
        <f>IF(F12=0, 0, ROUND(H12/F12, 4))</f>
        <v/>
      </c>
      <c r="J12" s="34">
        <f>SUMIF('5. ΕΝΟΠΟΙΗΜΕΝΑ ΔΕΔΟΜΕΝΑ 2026'!$C$6:$C$25, A12, '5. ΕΝΟΠΟΙΗΜΕΝΑ ΔΕΔΟΜΕΝΑ 2026'!$X$6:$X$25)</f>
        <v/>
      </c>
    </row>
    <row r="13" ht="22" customHeight="1">
      <c r="A13" s="36" t="inlineStr">
        <is>
          <t>05/2026</t>
        </is>
      </c>
      <c r="B13" s="61">
        <f>COUNTIF('5. ΕΝΟΠΟΙΗΜΕΝΑ ΔΕΔΟΜΕΝΑ 2026'!$C$6:$C$25, A13)</f>
        <v/>
      </c>
      <c r="C13" s="37">
        <f>SUMIF('5. ΕΝΟΠΟΙΗΜΕΝΑ ΔΕΔΟΜΕΝΑ 2026'!$C$6:$C$25, A13, '5. ΕΝΟΠΟΙΗΜΕΝΑ ΔΕΔΟΜΕΝΑ 2026'!$P$6:$P$25)</f>
        <v/>
      </c>
      <c r="D13" s="37">
        <f>SUMIF('5. ΕΝΟΠΟΙΗΜΕΝΑ ΔΕΔΟΜΕΝΑ 2026'!$C$6:$C$25, A13, '5. ΕΝΟΠΟΙΗΜΕΝΑ ΔΕΔΟΜΕΝΑ 2026'!$S$6:$S$25)</f>
        <v/>
      </c>
      <c r="E13" s="37">
        <f>C13-D13</f>
        <v/>
      </c>
      <c r="F13" s="37">
        <f>SUMIF('5. ΕΝΟΠΟΙΗΜΕΝΑ ΔΕΔΟΜΕΝΑ 2026'!$C$6:$C$25, A13, '5. ΕΝΟΠΟΙΗΜΕΝΑ ΔΕΔΟΜΕΝΑ 2026'!$T$6:$T$25)</f>
        <v/>
      </c>
      <c r="G13" s="38">
        <f>IF(D13=0, 0, ROUND(F13/D13, 4))</f>
        <v/>
      </c>
      <c r="H13" s="23">
        <f>SUMIF('5. ΕΝΟΠΟΙΗΜΕΝΑ ΔΕΔΟΜΕΝΑ 2026'!$C$6:$C$25, A13, '5. ΕΝΟΠΟΙΗΜΕΝΑ ΔΕΔΟΜΕΝΑ 2026'!$V$6:$V$25)</f>
        <v/>
      </c>
      <c r="I13" s="38">
        <f>IF(F13=0, 0, ROUND(H13/F13, 4))</f>
        <v/>
      </c>
      <c r="J13" s="23">
        <f>SUMIF('5. ΕΝΟΠΟΙΗΜΕΝΑ ΔΕΔΟΜΕΝΑ 2026'!$C$6:$C$25, A13, '5. ΕΝΟΠΟΙΗΜΕΝΑ ΔΕΔΟΜΕΝΑ 2026'!$X$6:$X$25)</f>
        <v/>
      </c>
    </row>
    <row r="14" ht="22" customHeight="1">
      <c r="A14" s="31" t="inlineStr">
        <is>
          <t>06/2026</t>
        </is>
      </c>
      <c r="B14" s="60">
        <f>COUNTIF('5. ΕΝΟΠΟΙΗΜΕΝΑ ΔΕΔΟΜΕΝΑ 2026'!$C$6:$C$25, A14)</f>
        <v/>
      </c>
      <c r="C14" s="32">
        <f>SUMIF('5. ΕΝΟΠΟΙΗΜΕΝΑ ΔΕΔΟΜΕΝΑ 2026'!$C$6:$C$25, A14, '5. ΕΝΟΠΟΙΗΜΕΝΑ ΔΕΔΟΜΕΝΑ 2026'!$P$6:$P$25)</f>
        <v/>
      </c>
      <c r="D14" s="32">
        <f>SUMIF('5. ΕΝΟΠΟΙΗΜΕΝΑ ΔΕΔΟΜΕΝΑ 2026'!$C$6:$C$25, A14, '5. ΕΝΟΠΟΙΗΜΕΝΑ ΔΕΔΟΜΕΝΑ 2026'!$S$6:$S$25)</f>
        <v/>
      </c>
      <c r="E14" s="32">
        <f>C14-D14</f>
        <v/>
      </c>
      <c r="F14" s="32">
        <f>SUMIF('5. ΕΝΟΠΟΙΗΜΕΝΑ ΔΕΔΟΜΕΝΑ 2026'!$C$6:$C$25, A14, '5. ΕΝΟΠΟΙΗΜΕΝΑ ΔΕΔΟΜΕΝΑ 2026'!$T$6:$T$25)</f>
        <v/>
      </c>
      <c r="G14" s="33">
        <f>IF(D14=0, 0, ROUND(F14/D14, 4))</f>
        <v/>
      </c>
      <c r="H14" s="34">
        <f>SUMIF('5. ΕΝΟΠΟΙΗΜΕΝΑ ΔΕΔΟΜΕΝΑ 2026'!$C$6:$C$25, A14, '5. ΕΝΟΠΟΙΗΜΕΝΑ ΔΕΔΟΜΕΝΑ 2026'!$V$6:$V$25)</f>
        <v/>
      </c>
      <c r="I14" s="33">
        <f>IF(F14=0, 0, ROUND(H14/F14, 4))</f>
        <v/>
      </c>
      <c r="J14" s="34">
        <f>SUMIF('5. ΕΝΟΠΟΙΗΜΕΝΑ ΔΕΔΟΜΕΝΑ 2026'!$C$6:$C$25, A14, '5. ΕΝΟΠΟΙΗΜΕΝΑ ΔΕΔΟΜΕΝΑ 2026'!$X$6:$X$25)</f>
        <v/>
      </c>
    </row>
    <row r="15" ht="22" customHeight="1">
      <c r="A15" s="36" t="inlineStr">
        <is>
          <t>07/2026</t>
        </is>
      </c>
      <c r="B15" s="61">
        <f>COUNTIF('5. ΕΝΟΠΟΙΗΜΕΝΑ ΔΕΔΟΜΕΝΑ 2026'!$C$6:$C$25, A15)</f>
        <v/>
      </c>
      <c r="C15" s="37">
        <f>SUMIF('5. ΕΝΟΠΟΙΗΜΕΝΑ ΔΕΔΟΜΕΝΑ 2026'!$C$6:$C$25, A15, '5. ΕΝΟΠΟΙΗΜΕΝΑ ΔΕΔΟΜΕΝΑ 2026'!$P$6:$P$25)</f>
        <v/>
      </c>
      <c r="D15" s="37">
        <f>SUMIF('5. ΕΝΟΠΟΙΗΜΕΝΑ ΔΕΔΟΜΕΝΑ 2026'!$C$6:$C$25, A15, '5. ΕΝΟΠΟΙΗΜΕΝΑ ΔΕΔΟΜΕΝΑ 2026'!$S$6:$S$25)</f>
        <v/>
      </c>
      <c r="E15" s="37">
        <f>C15-D15</f>
        <v/>
      </c>
      <c r="F15" s="37">
        <f>SUMIF('5. ΕΝΟΠΟΙΗΜΕΝΑ ΔΕΔΟΜΕΝΑ 2026'!$C$6:$C$25, A15, '5. ΕΝΟΠΟΙΗΜΕΝΑ ΔΕΔΟΜΕΝΑ 2026'!$T$6:$T$25)</f>
        <v/>
      </c>
      <c r="G15" s="38">
        <f>IF(D15=0, 0, ROUND(F15/D15, 4))</f>
        <v/>
      </c>
      <c r="H15" s="23">
        <f>SUMIF('5. ΕΝΟΠΟΙΗΜΕΝΑ ΔΕΔΟΜΕΝΑ 2026'!$C$6:$C$25, A15, '5. ΕΝΟΠΟΙΗΜΕΝΑ ΔΕΔΟΜΕΝΑ 2026'!$V$6:$V$25)</f>
        <v/>
      </c>
      <c r="I15" s="38">
        <f>IF(F15=0, 0, ROUND(H15/F15, 4))</f>
        <v/>
      </c>
      <c r="J15" s="23">
        <f>SUMIF('5. ΕΝΟΠΟΙΗΜΕΝΑ ΔΕΔΟΜΕΝΑ 2026'!$C$6:$C$25, A15, '5. ΕΝΟΠΟΙΗΜΕΝΑ ΔΕΔΟΜΕΝΑ 2026'!$X$6:$X$25)</f>
        <v/>
      </c>
    </row>
    <row r="16" ht="24" customHeight="1">
      <c r="A16" s="62" t="inlineStr">
        <is>
          <t>ΣΥΝΟΛΑ 2026:</t>
        </is>
      </c>
      <c r="B16" s="63">
        <f>SUM(B10:B15)</f>
        <v/>
      </c>
      <c r="C16" s="64">
        <f>SUM(C10:C15)</f>
        <v/>
      </c>
      <c r="D16" s="64">
        <f>SUM(D10:D15)</f>
        <v/>
      </c>
      <c r="E16" s="64">
        <f>SUM(E10:E15)</f>
        <v/>
      </c>
      <c r="F16" s="64">
        <f>SUM(F10:F15)</f>
        <v/>
      </c>
      <c r="G16" s="65">
        <f>ROUND(F16/D16, 4)</f>
        <v/>
      </c>
      <c r="H16" s="64">
        <f>SUM(H10:H15)</f>
        <v/>
      </c>
      <c r="I16" s="65">
        <f>ROUND(H16/F16, 4)</f>
        <v/>
      </c>
      <c r="J16" s="64">
        <f>SUM(J10:J15)</f>
        <v/>
      </c>
    </row>
    <row r="17"/>
    <row r="18">
      <c r="A18" s="3" t="inlineStr">
        <is>
          <t>Β. ΚΑΤΑΝΟΜΗ ΠΑΡΑΓΩΓΗΣ ΑΝΑ ΤΥΠΟ ΚΙΝΗΣΗΣ (ΝΕΑ ΠΑΡΑΓΩΓΗ vs ΑΝΑΝΕΩΣΕΙΣ)</t>
        </is>
      </c>
    </row>
    <row r="19" ht="26" customHeight="1">
      <c r="A19" s="9" t="inlineStr">
        <is>
          <t>Τύπος Κίνησης</t>
        </is>
      </c>
      <c r="B19" s="9" t="inlineStr">
        <is>
          <t>Πλήθος Κινήσεων</t>
        </is>
      </c>
      <c r="C19" s="9" t="inlineStr">
        <is>
          <t>Μικτά Ασφάλιστρα (€)</t>
        </is>
      </c>
      <c r="D19" s="9" t="inlineStr">
        <is>
          <t>Καθαρά Ασφάλιστρα (€)</t>
        </is>
      </c>
      <c r="E19" s="9" t="inlineStr">
        <is>
          <t>Προμήθειες Παραγωγών (€)</t>
        </is>
      </c>
      <c r="F19" s="9" t="inlineStr">
        <is>
          <t>Υπερπρομήθειες Agency 1411 (€)</t>
        </is>
      </c>
      <c r="G19" s="9" t="inlineStr">
        <is>
          <t>Συνολικό Έσοδο 1411 (€)</t>
        </is>
      </c>
    </row>
    <row r="20" ht="22" customHeight="1">
      <c r="A20" s="30" t="inlineStr">
        <is>
          <t>Νέα Παραγωγή</t>
        </is>
      </c>
      <c r="B20" s="60">
        <f>COUNTIF('5. ΕΝΟΠΟΙΗΜΕΝΑ ΔΕΔΟΜΕΝΑ 2026'!$Y$6:$Y$25, "*Νέα Παραγωγή*")</f>
        <v/>
      </c>
      <c r="C20" s="32">
        <f>SUMIF('5. ΕΝΟΠΟΙΗΜΕΝΑ ΔΕΔΟΜΕΝΑ 2026'!$Y$6:$Y$25, "*Νέα Παραγωγή*", '5. ΕΝΟΠΟΙΗΜΕΝΑ ΔΕΔΟΜΕΝΑ 2026'!$P$6:$P$25)</f>
        <v/>
      </c>
      <c r="D20" s="32">
        <f>SUMIF('5. ΕΝΟΠΟΙΗΜΕΝΑ ΔΕΔΟΜΕΝΑ 2026'!$Y$6:$Y$25, "*Νέα Παραγωγή*", '5. ΕΝΟΠΟΙΗΜΕΝΑ ΔΕΔΟΜΕΝΑ 2026'!$S$6:$S$25)</f>
        <v/>
      </c>
      <c r="E20" s="32">
        <f>SUMIF('5. ΕΝΟΠΟΙΗΜΕΝΑ ΔΕΔΟΜΕΝΑ 2026'!$Y$6:$Y$25, "*Νέα Παραγωγή*", '5. ΕΝΟΠΟΙΗΜΕΝΑ ΔΕΔΟΜΕΝΑ 2026'!$T$6:$T$25)</f>
        <v/>
      </c>
      <c r="F20" s="34">
        <f>SUMIF('5. ΕΝΟΠΟΙΗΜΕΝΑ ΔΕΔΟΜΕΝΑ 2026'!$Y$6:$Y$25, "*Νέα Παραγωγή*", '5. ΕΝΟΠΟΙΗΜΕΝΑ ΔΕΔΟΜΕΝΑ 2026'!$V$6:$V$25)</f>
        <v/>
      </c>
      <c r="G20" s="34">
        <f>SUMIF('5. ΕΝΟΠΟΙΗΜΕΝΑ ΔΕΔΟΜΕΝΑ 2026'!$Y$6:$Y$25, "*Νέα Παραγωγή*", '5. ΕΝΟΠΟΙΗΜΕΝΑ ΔΕΔΟΜΕΝΑ 2026'!$X$6:$X$25)</f>
        <v/>
      </c>
    </row>
    <row r="21" ht="22" customHeight="1">
      <c r="A21" s="35" t="inlineStr">
        <is>
          <t>Ανανέωση</t>
        </is>
      </c>
      <c r="B21" s="61">
        <f>COUNTIF('5. ΕΝΟΠΟΙΗΜΕΝΑ ΔΕΔΟΜΕΝΑ 2026'!$Y$6:$Y$25, "*Ανανέωση*")</f>
        <v/>
      </c>
      <c r="C21" s="37">
        <f>SUMIF('5. ΕΝΟΠΟΙΗΜΕΝΑ ΔΕΔΟΜΕΝΑ 2026'!$Y$6:$Y$25, "*Ανανέωση*", '5. ΕΝΟΠΟΙΗΜΕΝΑ ΔΕΔΟΜΕΝΑ 2026'!$P$6:$P$25)</f>
        <v/>
      </c>
      <c r="D21" s="37">
        <f>SUMIF('5. ΕΝΟΠΟΙΗΜΕΝΑ ΔΕΔΟΜΕΝΑ 2026'!$Y$6:$Y$25, "*Ανανέωση*", '5. ΕΝΟΠΟΙΗΜΕΝΑ ΔΕΔΟΜΕΝΑ 2026'!$S$6:$S$25)</f>
        <v/>
      </c>
      <c r="E21" s="37">
        <f>SUMIF('5. ΕΝΟΠΟΙΗΜΕΝΑ ΔΕΔΟΜΕΝΑ 2026'!$Y$6:$Y$25, "*Ανανέωση*", '5. ΕΝΟΠΟΙΗΜΕΝΑ ΔΕΔΟΜΕΝΑ 2026'!$T$6:$T$25)</f>
        <v/>
      </c>
      <c r="F21" s="23">
        <f>SUMIF('5. ΕΝΟΠΟΙΗΜΕΝΑ ΔΕΔΟΜΕΝΑ 2026'!$Y$6:$Y$25, "*Ανανέωση*", '5. ΕΝΟΠΟΙΗΜΕΝΑ ΔΕΔΟΜΕΝΑ 2026'!$V$6:$V$25)</f>
        <v/>
      </c>
      <c r="G21" s="23">
        <f>SUMIF('5. ΕΝΟΠΟΙΗΜΕΝΑ ΔΕΔΟΜΕΝΑ 2026'!$Y$6:$Y$25, "*Ανανέωση*", '5. ΕΝΟΠΟΙΗΜΕΝΑ ΔΕΔΟΜΕΝΑ 2026'!$X$6:$X$25)</f>
        <v/>
      </c>
    </row>
    <row r="22" ht="22" customHeight="1">
      <c r="A22" s="30" t="inlineStr">
        <is>
          <t>Συμψηφισμός 0,00 €</t>
        </is>
      </c>
      <c r="B22" s="60">
        <f>COUNTIF('5. ΕΝΟΠΟΙΗΜΕΝΑ ΔΕΔΟΜΕΝΑ 2026'!$Y$6:$Y$25, "*Συμψηφισμός*")</f>
        <v/>
      </c>
      <c r="C22" s="32">
        <f>SUMIF('5. ΕΝΟΠΟΙΗΜΕΝΑ ΔΕΔΟΜΕΝΑ 2026'!$Y$6:$Y$25, "*Συμψηφισμός*", '5. ΕΝΟΠΟΙΗΜΕΝΑ ΔΕΔΟΜΕΝΑ 2026'!$P$6:$P$25)</f>
        <v/>
      </c>
      <c r="D22" s="32">
        <f>SUMIF('5. ΕΝΟΠΟΙΗΜΕΝΑ ΔΕΔΟΜΕΝΑ 2026'!$Y$6:$Y$25, "*Συμψηφισμός*", '5. ΕΝΟΠΟΙΗΜΕΝΑ ΔΕΔΟΜΕΝΑ 2026'!$S$6:$S$25)</f>
        <v/>
      </c>
      <c r="E22" s="32">
        <f>SUMIF('5. ΕΝΟΠΟΙΗΜΕΝΑ ΔΕΔΟΜΕΝΑ 2026'!$Y$6:$Y$25, "*Συμψηφισμός*", '5. ΕΝΟΠΟΙΗΜΕΝΑ ΔΕΔΟΜΕΝΑ 2026'!$T$6:$T$25)</f>
        <v/>
      </c>
      <c r="F22" s="34">
        <f>SUMIF('5. ΕΝΟΠΟΙΗΜΕΝΑ ΔΕΔΟΜΕΝΑ 2026'!$Y$6:$Y$25, "*Συμψηφισμός*", '5. ΕΝΟΠΟΙΗΜΕΝΑ ΔΕΔΟΜΕΝΑ 2026'!$V$6:$V$25)</f>
        <v/>
      </c>
      <c r="G22" s="34">
        <f>SUMIF('5. ΕΝΟΠΟΙΗΜΕΝΑ ΔΕΔΟΜΕΝΑ 2026'!$Y$6:$Y$25, "*Συμψηφισμός*", '5. ΕΝΟΠΟΙΗΜΕΝΑ ΔΕΔΟΜΕΝΑ 2026'!$X$6:$X$25)</f>
        <v/>
      </c>
    </row>
    <row r="23" ht="24" customHeight="1">
      <c r="A23" s="50" t="inlineStr">
        <is>
          <t>ΣΥΝΟΛΟ:</t>
        </is>
      </c>
      <c r="B23" s="66">
        <f>SUM(B20:B22)</f>
        <v/>
      </c>
      <c r="C23" s="52">
        <f>SUM(C20:C22)</f>
        <v/>
      </c>
      <c r="D23" s="52">
        <f>SUM(D20:D22)</f>
        <v/>
      </c>
      <c r="E23" s="52">
        <f>SUM(E20:E22)</f>
        <v/>
      </c>
      <c r="F23" s="52">
        <f>SUM(F20:F22)</f>
        <v/>
      </c>
      <c r="G23" s="52">
        <f>SUM(G20:G22)</f>
        <v/>
      </c>
    </row>
  </sheetData>
  <mergeCells count="10">
    <mergeCell ref="F4:G4"/>
    <mergeCell ref="B5:C5"/>
    <mergeCell ref="A2:H2"/>
    <mergeCell ref="F5:G5"/>
    <mergeCell ref="D5:E5"/>
    <mergeCell ref="H5:I5"/>
    <mergeCell ref="D4:E4"/>
    <mergeCell ref="H4:I4"/>
    <mergeCell ref="A1:H1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6" customWidth="1" min="3" max="3"/>
    <col width="34" customWidth="1" min="4" max="4"/>
    <col width="45" customWidth="1" min="5" max="5"/>
    <col width="34" customWidth="1" min="6" max="6"/>
    <col width="45" customWidth="1" min="7" max="7"/>
    <col width="30" customWidth="1" min="8" max="8"/>
    <col width="28" customWidth="1" min="9" max="9"/>
    <col width="52" customWidth="1" min="10" max="10"/>
    <col width="42" customWidth="1" min="11" max="11"/>
    <col width="21" customWidth="1" min="12" max="12"/>
    <col width="32" customWidth="1" min="13" max="13"/>
    <col width="26" customWidth="1" min="14" max="14"/>
    <col width="23" customWidth="1" min="15" max="15"/>
    <col width="32" customWidth="1" min="16" max="16"/>
    <col width="24" customWidth="1" min="17" max="17"/>
    <col width="26" customWidth="1" min="18" max="18"/>
    <col width="26" customWidth="1" min="19" max="19"/>
    <col width="22" customWidth="1" min="20" max="20"/>
    <col width="32" customWidth="1" min="21" max="21"/>
    <col width="22" customWidth="1" min="22" max="22"/>
    <col width="26" customWidth="1" min="23" max="23"/>
    <col width="47" customWidth="1" min="24" max="24"/>
  </cols>
  <sheetData>
    <row r="1">
      <c r="A1" s="1" t="inlineStr">
        <is>
          <t>ΑΝΑΛΥΤΙΚΟ ΜΗΤΡΩΟ ΣΥΜΒΟΛΑΙΩΝ, ΣΤΟΙΧΕΙΩΝ ΠΕΛΑΤΩΝ &amp; ΕΠΙΜΕΡΟΥΣ ΚΑΛΥΨΕΩΝ</t>
        </is>
      </c>
    </row>
    <row r="2">
      <c r="A2" s="2" t="inlineStr">
        <is>
          <t>Ενότητα Α: Αναλυτική Καταγραφή Όλων των 20 Κινήσεων με Στοιχεία Πελατών &amp; Συμψηφισμούς | Ενότητα Β: Πλήρης Ανάλυση και των 27 Επιμέρους Καλύψεων UATOP615</t>
        </is>
      </c>
    </row>
    <row r="3"/>
    <row r="4">
      <c r="A4" s="3" t="inlineStr">
        <is>
          <t>Α. ΠΛΗΡΗΣ ΚΑΤΑΓΡΑΦΗ ΣΥΜΒΟΛΑΙΩΝ &amp; ΟΙΚΟΝΟΜΙΚΩΝ ΚΙΝΗΣΕΩΝ 2026 (ΜΕ ΟΛΑ ΤΑ ΣΤΟΙΧΕΙΑ ΠΕΛΑΤΗ &amp; ΣΥΜΨΗΦΙΣΜΟΥΣ)</t>
        </is>
      </c>
    </row>
    <row r="5" ht="28" customHeight="1">
      <c r="A5" s="4" t="inlineStr">
        <is>
          <t>Α/Α</t>
        </is>
      </c>
      <c r="B5" s="4" t="inlineStr">
        <is>
          <t>Ημερομηνία Έναρξης</t>
        </is>
      </c>
      <c r="C5" s="4" t="inlineStr">
        <is>
          <t>Μήνας</t>
        </is>
      </c>
      <c r="D5" s="4" t="inlineStr">
        <is>
          <t>Αρ. Συμβολαίου</t>
        </is>
      </c>
      <c r="E5" s="4" t="inlineStr">
        <is>
          <t>Αρ. Απόδειξης</t>
        </is>
      </c>
      <c r="F5" s="4" t="inlineStr">
        <is>
          <t>Ονοματεπώνυμο Πελάτη / Επωνυμία</t>
        </is>
      </c>
      <c r="G5" s="4" t="inlineStr">
        <is>
          <t>Πακέτο / Πρόγραμμα Ασφάλισης</t>
        </is>
      </c>
      <c r="H5" s="4" t="inlineStr">
        <is>
          <t>ΑΦΜ Πελάτη</t>
        </is>
      </c>
      <c r="I5" s="4" t="inlineStr">
        <is>
          <t>Τηλέφωνο Επικοινωνίας</t>
        </is>
      </c>
      <c r="J5" s="4" t="inlineStr">
        <is>
          <t>Email Πελάτη</t>
        </is>
      </c>
      <c r="K5" s="4" t="inlineStr">
        <is>
          <t>Διεύθυνση &amp; Πόλη</t>
        </is>
      </c>
      <c r="L5" s="4" t="inlineStr">
        <is>
          <t>Τρόπος Πληρωμής</t>
        </is>
      </c>
      <c r="M5" s="4" t="inlineStr">
        <is>
          <t>Διαν. Έτος</t>
        </is>
      </c>
      <c r="N5" s="4" t="inlineStr">
        <is>
          <t>Διάρκεια</t>
        </is>
      </c>
      <c r="O5" s="4" t="inlineStr">
        <is>
          <t>Μικτά Ασφάλιστρα (€)</t>
        </is>
      </c>
      <c r="P5" s="4" t="inlineStr">
        <is>
          <t>Καθαρά ΒΚ - Ζωή (€)</t>
        </is>
      </c>
      <c r="Q5" s="4" t="inlineStr">
        <is>
          <t>Καθαρά ΣΚ - Υγεία (€)</t>
        </is>
      </c>
      <c r="R5" s="4" t="inlineStr">
        <is>
          <t>Συνολικά Καθαρά (€)</t>
        </is>
      </c>
      <c r="S5" s="4" t="inlineStr">
        <is>
          <t>Προμήθεια Συνεργάτη (€)</t>
        </is>
      </c>
      <c r="T5" s="4" t="inlineStr">
        <is>
          <t>Προμήθεια %</t>
        </is>
      </c>
      <c r="U5" s="4" t="inlineStr">
        <is>
          <t>Υπερπρομήθεια Agency 1411 (€)</t>
        </is>
      </c>
      <c r="V5" s="4" t="inlineStr">
        <is>
          <t>Υπερπρομήθεια %</t>
        </is>
      </c>
      <c r="W5" s="4" t="inlineStr">
        <is>
          <t>Συνολικό Έσοδο 1411 (€)</t>
        </is>
      </c>
      <c r="X5" s="4" t="inlineStr">
        <is>
          <t>Κατάσταση Κίνησης / Συμψηφισμός</t>
        </is>
      </c>
    </row>
    <row r="6" ht="20" customHeight="1">
      <c r="A6" s="13" t="n">
        <v>1</v>
      </c>
      <c r="B6" s="13" t="inlineStr">
        <is>
          <t>27/1/2026</t>
        </is>
      </c>
      <c r="C6" s="13" t="inlineStr">
        <is>
          <t>03/2026</t>
        </is>
      </c>
      <c r="D6" s="21" t="n">
        <v>2026000161</v>
      </c>
      <c r="E6" s="13" t="n">
        <v>126288</v>
      </c>
      <c r="F6" s="5" t="inlineStr">
        <is>
          <t>ΤΕΖΚΟΣΑΡ ΑΓΛΑΙΑ</t>
        </is>
      </c>
      <c r="G6" s="5" t="inlineStr">
        <is>
          <t>ERGO Health Care Simple (€500) + Affidea</t>
        </is>
      </c>
      <c r="H6" s="13" t="inlineStr">
        <is>
          <t>141624244</t>
        </is>
      </c>
      <c r="I6" s="13" t="inlineStr">
        <is>
          <t>6970030570</t>
        </is>
      </c>
      <c r="J6" s="6" t="inlineStr">
        <is>
          <t>hrisafaki@gmail.com</t>
        </is>
      </c>
      <c r="K6" s="6" t="inlineStr">
        <is>
          <t>Αφροδίτης 47-49, Παλαιό Φάληρο ΤΚ 17561</t>
        </is>
      </c>
      <c r="L6" s="13" t="inlineStr">
        <is>
          <t>Τριμηνιαία</t>
        </is>
      </c>
      <c r="M6" s="13" t="n">
        <v>1</v>
      </c>
      <c r="N6" s="13" t="n">
        <v>1</v>
      </c>
      <c r="O6" s="34" t="n">
        <v>475.5</v>
      </c>
      <c r="P6" s="39" t="n">
        <v>0</v>
      </c>
      <c r="Q6" s="39" t="n">
        <v>414.55</v>
      </c>
      <c r="R6" s="34" t="n">
        <v>414.55</v>
      </c>
      <c r="S6" s="39" t="n">
        <v>116.18</v>
      </c>
      <c r="T6" s="14" t="n">
        <v>0.2802556989506694</v>
      </c>
      <c r="U6" s="34" t="n">
        <v>23.24</v>
      </c>
      <c r="V6" s="14" t="n">
        <v>0.2000344293337924</v>
      </c>
      <c r="W6" s="34" t="n">
        <v>23.24</v>
      </c>
      <c r="X6" s="5" t="inlineStr">
        <is>
          <t>Νέα Παραγωγή (1ο Έτος)</t>
        </is>
      </c>
    </row>
    <row r="7" ht="20" customHeight="1">
      <c r="A7" s="11" t="n">
        <v>2</v>
      </c>
      <c r="B7" s="11" t="inlineStr">
        <is>
          <t>29/1/2026</t>
        </is>
      </c>
      <c r="C7" s="11" t="inlineStr">
        <is>
          <t>02/2026</t>
        </is>
      </c>
      <c r="D7" s="20" t="n">
        <v>2026000182</v>
      </c>
      <c r="E7" s="11" t="n">
        <v>126309</v>
      </c>
      <c r="F7" s="7" t="inlineStr">
        <is>
          <t>ΠΑΠΑΔΑΚΗΣ ΦΑΙΔΩΝ</t>
        </is>
      </c>
      <c r="G7" s="7" t="inlineStr">
        <is>
          <t>Ασφάλιση Ζωής &amp; Υγείας</t>
        </is>
      </c>
      <c r="H7" s="11" t="inlineStr">
        <is>
          <t>-</t>
        </is>
      </c>
      <c r="I7" s="11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11" t="inlineStr">
        <is>
          <t>Ετήσια</t>
        </is>
      </c>
      <c r="M7" s="11" t="n">
        <v>1</v>
      </c>
      <c r="N7" s="11" t="n">
        <v>1</v>
      </c>
      <c r="O7" s="23" t="n">
        <v>896.3</v>
      </c>
      <c r="P7" s="40" t="n">
        <v>0</v>
      </c>
      <c r="Q7" s="40" t="n">
        <v>896.3</v>
      </c>
      <c r="R7" s="23" t="n">
        <v>896.3</v>
      </c>
      <c r="S7" s="40" t="n">
        <v>0</v>
      </c>
      <c r="T7" s="12" t="n">
        <v>0</v>
      </c>
      <c r="U7" s="23" t="n">
        <v>51.99</v>
      </c>
      <c r="V7" s="12" t="n">
        <v>0.2</v>
      </c>
      <c r="W7" s="23" t="n">
        <v>51.99</v>
      </c>
      <c r="X7" s="7" t="inlineStr">
        <is>
          <t>Νέα Παραγωγή (1ο Έτος)</t>
        </is>
      </c>
    </row>
    <row r="8" ht="20" customHeight="1">
      <c r="A8" s="41" t="n">
        <v>3</v>
      </c>
      <c r="B8" s="42" t="inlineStr">
        <is>
          <t>2/2/2026</t>
        </is>
      </c>
      <c r="C8" s="42" t="inlineStr">
        <is>
          <t>04/2026</t>
        </is>
      </c>
      <c r="D8" s="43" t="n">
        <v>2026000210</v>
      </c>
      <c r="E8" s="41" t="n">
        <v>126337</v>
      </c>
      <c r="F8" s="44" t="inlineStr">
        <is>
          <t>ΜΟΥΛΑΚΑΚΗΣ ΓΡΗΓΟΡΙΟΣ (FTTB IKE)</t>
        </is>
      </c>
      <c r="G8" s="44" t="inlineStr">
        <is>
          <t>Ασφάλιση Ζωής &amp; Ατυχήματος (Standard Life)</t>
        </is>
      </c>
      <c r="H8" s="41" t="inlineStr">
        <is>
          <t>800769452</t>
        </is>
      </c>
      <c r="I8" s="41" t="inlineStr">
        <is>
          <t>6948487836</t>
        </is>
      </c>
      <c r="J8" s="45" t="inlineStr">
        <is>
          <t>GMULAKAKIS@GMAIL.COM</t>
        </is>
      </c>
      <c r="K8" s="45" t="inlineStr">
        <is>
          <t>Πολυτεχνείου 3, Γάζι ΤΚ 71414</t>
        </is>
      </c>
      <c r="L8" s="41" t="inlineStr">
        <is>
          <t>Ετήσια</t>
        </is>
      </c>
      <c r="M8" s="41" t="n">
        <v>1</v>
      </c>
      <c r="N8" s="41" t="n">
        <v>20</v>
      </c>
      <c r="O8" s="46" t="n">
        <v>-1029.77</v>
      </c>
      <c r="P8" s="47" t="n">
        <v>-390.36</v>
      </c>
      <c r="Q8" s="47" t="n">
        <v>-639.41</v>
      </c>
      <c r="R8" s="46" t="n">
        <v>-1029.77</v>
      </c>
      <c r="S8" s="47" t="n">
        <v>0</v>
      </c>
      <c r="T8" s="48" t="n">
        <v>-0</v>
      </c>
      <c r="U8" s="46" t="n">
        <v>-28.52</v>
      </c>
      <c r="V8" s="48" t="n">
        <v>0.2</v>
      </c>
      <c r="W8" s="46" t="n">
        <v>-28.52</v>
      </c>
      <c r="X8" s="49" t="inlineStr">
        <is>
          <t>Συμψηφισμός 0,00 € (Αντιλογισμός/Επανέκδοση)</t>
        </is>
      </c>
    </row>
    <row r="9" ht="20" customHeight="1">
      <c r="A9" s="41" t="n">
        <v>4</v>
      </c>
      <c r="B9" s="41" t="inlineStr">
        <is>
          <t>2/2/2026</t>
        </is>
      </c>
      <c r="C9" s="41" t="inlineStr">
        <is>
          <t>04/2026</t>
        </is>
      </c>
      <c r="D9" s="43" t="n">
        <v>2026000210</v>
      </c>
      <c r="E9" s="41" t="n">
        <v>126337</v>
      </c>
      <c r="F9" s="44" t="inlineStr">
        <is>
          <t>ΜΟΥΛΑΚΑΚΗΣ ΓΡΗΓΟΡΙΟΣ (FTTB IKE)</t>
        </is>
      </c>
      <c r="G9" s="44" t="inlineStr">
        <is>
          <t>Ασφάλιση Ζωής &amp; Ατυχήματος (Standard Life)</t>
        </is>
      </c>
      <c r="H9" s="41" t="inlineStr">
        <is>
          <t>800769452</t>
        </is>
      </c>
      <c r="I9" s="41" t="inlineStr">
        <is>
          <t>6948487836</t>
        </is>
      </c>
      <c r="J9" s="45" t="inlineStr">
        <is>
          <t>GMULAKAKIS@GMAIL.COM</t>
        </is>
      </c>
      <c r="K9" s="45" t="inlineStr">
        <is>
          <t>Πολυτεχνείου 3, Γάζι ΤΚ 71414</t>
        </is>
      </c>
      <c r="L9" s="41" t="inlineStr">
        <is>
          <t>Ετήσια</t>
        </is>
      </c>
      <c r="M9" s="41" t="n">
        <v>1</v>
      </c>
      <c r="N9" s="41" t="n">
        <v>20</v>
      </c>
      <c r="O9" s="46" t="n">
        <v>1029.77</v>
      </c>
      <c r="P9" s="47" t="n">
        <v>390.36</v>
      </c>
      <c r="Q9" s="47" t="n">
        <v>639.41</v>
      </c>
      <c r="R9" s="46" t="n">
        <v>1029.77</v>
      </c>
      <c r="S9" s="47" t="n">
        <v>0</v>
      </c>
      <c r="T9" s="48" t="n">
        <v>0</v>
      </c>
      <c r="U9" s="46" t="n">
        <v>28.52</v>
      </c>
      <c r="V9" s="48" t="n">
        <v>0.2</v>
      </c>
      <c r="W9" s="46" t="n">
        <v>28.52</v>
      </c>
      <c r="X9" s="49" t="inlineStr">
        <is>
          <t>Συμψηφισμός 0,00 € (Αντιλογισμός/Επανέκδοση)</t>
        </is>
      </c>
    </row>
    <row r="10" ht="20" customHeight="1">
      <c r="A10" s="41" t="n">
        <v>5</v>
      </c>
      <c r="B10" s="41" t="inlineStr">
        <is>
          <t>14/2/2026</t>
        </is>
      </c>
      <c r="C10" s="41" t="inlineStr">
        <is>
          <t>03/2026</t>
        </is>
      </c>
      <c r="D10" s="43" t="n">
        <v>2025000256</v>
      </c>
      <c r="E10" s="41" t="n">
        <v>80404824</v>
      </c>
      <c r="F10" s="44" t="inlineStr">
        <is>
          <t>ΒΑΒΑΤΣΙΚΟΣ ΔΗΜΗΤΡΙΟΣ</t>
        </is>
      </c>
      <c r="G10" s="44" t="inlineStr">
        <is>
          <t>ERGO Health Care Advanced (€500)</t>
        </is>
      </c>
      <c r="H10" s="41" t="inlineStr">
        <is>
          <t>160251127</t>
        </is>
      </c>
      <c r="I10" s="41" t="inlineStr">
        <is>
          <t>6985987796</t>
        </is>
      </c>
      <c r="J10" s="45" t="inlineStr">
        <is>
          <t>DIMVAVATSIKOS@GMAIL.COM</t>
        </is>
      </c>
      <c r="K10" s="45" t="inlineStr">
        <is>
          <t>Καρπάθου 11, Πειραιάς ΤΚ 18539</t>
        </is>
      </c>
      <c r="L10" s="41" t="inlineStr">
        <is>
          <t>Ετήσια</t>
        </is>
      </c>
      <c r="M10" s="41" t="n">
        <v>2</v>
      </c>
      <c r="N10" s="41" t="n">
        <v>1</v>
      </c>
      <c r="O10" s="46" t="n">
        <v>1309.8</v>
      </c>
      <c r="P10" s="47" t="n">
        <v>0</v>
      </c>
      <c r="Q10" s="47" t="n">
        <v>1093.95</v>
      </c>
      <c r="R10" s="46" t="n">
        <v>1093.95</v>
      </c>
      <c r="S10" s="47" t="n">
        <v>265.07</v>
      </c>
      <c r="T10" s="48" t="n">
        <v>0.2423054070112894</v>
      </c>
      <c r="U10" s="46" t="n">
        <v>53.01</v>
      </c>
      <c r="V10" s="48" t="n">
        <v>0.1999849096465085</v>
      </c>
      <c r="W10" s="46" t="n">
        <v>53.01</v>
      </c>
      <c r="X10" s="49" t="inlineStr">
        <is>
          <t>Συμψηφισμός 0,00 € (Αρχική Εγγραφή)</t>
        </is>
      </c>
    </row>
    <row r="11" ht="20" customHeight="1">
      <c r="A11" s="41" t="n">
        <v>6</v>
      </c>
      <c r="B11" s="42" t="inlineStr">
        <is>
          <t>14/2/2026</t>
        </is>
      </c>
      <c r="C11" s="42" t="inlineStr">
        <is>
          <t>03/2026</t>
        </is>
      </c>
      <c r="D11" s="43" t="n">
        <v>2025000256</v>
      </c>
      <c r="E11" s="41" t="n">
        <v>80404824</v>
      </c>
      <c r="F11" s="44" t="inlineStr">
        <is>
          <t>ΒΑΒΑΤΣΙΚΟΣ ΔΗΜΗΤΡΙΟΣ</t>
        </is>
      </c>
      <c r="G11" s="44" t="inlineStr">
        <is>
          <t>ERGO Health Care Advanced (€500)</t>
        </is>
      </c>
      <c r="H11" s="41" t="inlineStr">
        <is>
          <t>160251127</t>
        </is>
      </c>
      <c r="I11" s="41" t="inlineStr">
        <is>
          <t>6985987796</t>
        </is>
      </c>
      <c r="J11" s="45" t="inlineStr">
        <is>
          <t>DIMVAVATSIKOS@GMAIL.COM</t>
        </is>
      </c>
      <c r="K11" s="45" t="inlineStr">
        <is>
          <t>Καρπάθου 11, Πειραιάς ΤΚ 18539</t>
        </is>
      </c>
      <c r="L11" s="41" t="inlineStr">
        <is>
          <t>Ετήσια</t>
        </is>
      </c>
      <c r="M11" s="41" t="n">
        <v>2</v>
      </c>
      <c r="N11" s="41" t="n">
        <v>1</v>
      </c>
      <c r="O11" s="46" t="n">
        <v>-1309.8</v>
      </c>
      <c r="P11" s="47" t="n">
        <v>0</v>
      </c>
      <c r="Q11" s="47" t="n">
        <v>-1093.95</v>
      </c>
      <c r="R11" s="46" t="n">
        <v>-1093.95</v>
      </c>
      <c r="S11" s="47" t="n">
        <v>-265.07</v>
      </c>
      <c r="T11" s="48" t="n">
        <v>0.2423054070112894</v>
      </c>
      <c r="U11" s="46" t="n">
        <v>-53.01</v>
      </c>
      <c r="V11" s="48" t="n">
        <v>0.1999849096465085</v>
      </c>
      <c r="W11" s="46" t="n">
        <v>-53.01</v>
      </c>
      <c r="X11" s="49" t="inlineStr">
        <is>
          <t>Συμψηφισμός 0,00 € (Ακύρωση/Επανεγγραφή)</t>
        </is>
      </c>
    </row>
    <row r="12" ht="20" customHeight="1">
      <c r="A12" s="13" t="n">
        <v>7</v>
      </c>
      <c r="B12" s="13" t="inlineStr">
        <is>
          <t>17/2/2026</t>
        </is>
      </c>
      <c r="C12" s="13" t="inlineStr">
        <is>
          <t>02/2026</t>
        </is>
      </c>
      <c r="D12" s="21" t="n">
        <v>2021000340</v>
      </c>
      <c r="E12" s="13" t="n">
        <v>80405097</v>
      </c>
      <c r="F12" s="5" t="inlineStr">
        <is>
          <t>ΚΟΥΠΑΛΟΓΛΟΥ ΑΒΑΠΤΙΣΤΟ</t>
        </is>
      </c>
      <c r="G12" s="5" t="inlineStr">
        <is>
          <t>ERGO Health Care Advanced</t>
        </is>
      </c>
      <c r="H12" s="13" t="inlineStr">
        <is>
          <t>-</t>
        </is>
      </c>
      <c r="I12" s="13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13" t="inlineStr">
        <is>
          <t>Ετήσια</t>
        </is>
      </c>
      <c r="M12" s="13" t="n">
        <v>6</v>
      </c>
      <c r="N12" s="13" t="n">
        <v>1</v>
      </c>
      <c r="O12" s="34" t="n">
        <v>359.74</v>
      </c>
      <c r="P12" s="39" t="n">
        <v>0</v>
      </c>
      <c r="Q12" s="39" t="n">
        <v>359.74</v>
      </c>
      <c r="R12" s="34" t="n">
        <v>359.74</v>
      </c>
      <c r="S12" s="39" t="n">
        <v>89.94</v>
      </c>
      <c r="T12" s="14" t="n">
        <v>0.2500138989270028</v>
      </c>
      <c r="U12" s="34" t="n">
        <v>0</v>
      </c>
      <c r="V12" s="14" t="n">
        <v>0</v>
      </c>
      <c r="W12" s="34" t="n">
        <v>0</v>
      </c>
      <c r="X12" s="5" t="inlineStr">
        <is>
          <t>Ανανέωση (6ο Έτος)</t>
        </is>
      </c>
    </row>
    <row r="13" ht="20" customHeight="1">
      <c r="A13" s="11" t="n">
        <v>8</v>
      </c>
      <c r="B13" s="11" t="inlineStr">
        <is>
          <t>24/2/2026</t>
        </is>
      </c>
      <c r="C13" s="11" t="inlineStr">
        <is>
          <t>03/2026</t>
        </is>
      </c>
      <c r="D13" s="20" t="n">
        <v>2026000457</v>
      </c>
      <c r="E13" s="11" t="n">
        <v>126592</v>
      </c>
      <c r="F13" s="7" t="inlineStr">
        <is>
          <t>ΜΟΥΛΑΚΑΚΗΣ ΓΡΗΓΟΡΙΟΣ (FTTB IKE)</t>
        </is>
      </c>
      <c r="G13" s="7" t="inlineStr">
        <is>
          <t>Ασφάλιση Ζωής &amp; Ατυχήματος (Standard Life)</t>
        </is>
      </c>
      <c r="H13" s="11" t="inlineStr">
        <is>
          <t>800769452</t>
        </is>
      </c>
      <c r="I13" s="11" t="inlineStr">
        <is>
          <t>6948487836</t>
        </is>
      </c>
      <c r="J13" s="8" t="inlineStr">
        <is>
          <t>GMULAKAKIS@GMAIL.COM</t>
        </is>
      </c>
      <c r="K13" s="8" t="inlineStr">
        <is>
          <t>Πολυτεχνείου 3, Γάζι ΤΚ 71414</t>
        </is>
      </c>
      <c r="L13" s="11" t="inlineStr">
        <is>
          <t>Ετήσια</t>
        </is>
      </c>
      <c r="M13" s="11" t="n">
        <v>1</v>
      </c>
      <c r="N13" s="11" t="n">
        <v>20</v>
      </c>
      <c r="O13" s="23" t="n">
        <v>966.6</v>
      </c>
      <c r="P13" s="40" t="n">
        <v>390.36</v>
      </c>
      <c r="Q13" s="40" t="n">
        <v>483.8</v>
      </c>
      <c r="R13" s="23" t="n">
        <v>874.16</v>
      </c>
      <c r="S13" s="40" t="n">
        <v>238.11</v>
      </c>
      <c r="T13" s="12" t="n">
        <v>0.2723872060034777</v>
      </c>
      <c r="U13" s="23" t="n">
        <v>47.63</v>
      </c>
      <c r="V13" s="12" t="n">
        <v>0.2000335979169292</v>
      </c>
      <c r="W13" s="23" t="n">
        <v>47.63</v>
      </c>
      <c r="X13" s="7" t="inlineStr">
        <is>
          <t>Νέα Παραγωγή (1ο Έτος)</t>
        </is>
      </c>
    </row>
    <row r="14" ht="20" customHeight="1">
      <c r="A14" s="13" t="n">
        <v>9</v>
      </c>
      <c r="B14" s="13" t="inlineStr">
        <is>
          <t>21/3/2026</t>
        </is>
      </c>
      <c r="C14" s="13" t="inlineStr">
        <is>
          <t>03/2026</t>
        </is>
      </c>
      <c r="D14" s="21" t="n">
        <v>296632</v>
      </c>
      <c r="E14" s="13" t="n">
        <v>80409917</v>
      </c>
      <c r="F14" s="5" t="inlineStr">
        <is>
          <t>ΚΟΝΤΟΣ ΚΩΝΣΤΑΝΤΙΝΟΣ</t>
        </is>
      </c>
      <c r="G14" s="5" t="inlineStr">
        <is>
          <t>Κλασικό Πρόγραμμα Ζωής &amp; Νοσοκομειακό</t>
        </is>
      </c>
      <c r="H14" s="13" t="inlineStr">
        <is>
          <t>124778260</t>
        </is>
      </c>
      <c r="I14" s="13" t="inlineStr">
        <is>
          <t>6977046967</t>
        </is>
      </c>
      <c r="J14" s="6" t="inlineStr">
        <is>
          <t>-</t>
        </is>
      </c>
      <c r="K14" s="6" t="inlineStr">
        <is>
          <t>Συν/ρχη Πλέσσα 84, Καλλιθέα ΤΚ 17674</t>
        </is>
      </c>
      <c r="L14" s="13" t="inlineStr">
        <is>
          <t>Τριμηνιαία</t>
        </is>
      </c>
      <c r="M14" s="13" t="n">
        <v>27</v>
      </c>
      <c r="N14" s="13" t="n">
        <v>99</v>
      </c>
      <c r="O14" s="34" t="n">
        <v>252.9</v>
      </c>
      <c r="P14" s="39" t="n">
        <v>16.57</v>
      </c>
      <c r="Q14" s="39" t="n">
        <v>199.54</v>
      </c>
      <c r="R14" s="34" t="n">
        <v>216.11</v>
      </c>
      <c r="S14" s="39" t="n">
        <v>0</v>
      </c>
      <c r="T14" s="14" t="n">
        <v>0</v>
      </c>
      <c r="U14" s="34" t="n">
        <v>0</v>
      </c>
      <c r="V14" s="14" t="n">
        <v>0</v>
      </c>
      <c r="W14" s="34" t="n">
        <v>0</v>
      </c>
      <c r="X14" s="5" t="inlineStr">
        <is>
          <t>Ανανέωση (27ο Έτος)</t>
        </is>
      </c>
    </row>
    <row r="15" ht="20" customHeight="1">
      <c r="A15" s="11" t="n">
        <v>10</v>
      </c>
      <c r="B15" s="11" t="inlineStr">
        <is>
          <t>27/3/2026</t>
        </is>
      </c>
      <c r="C15" s="11" t="inlineStr">
        <is>
          <t>03/2026</t>
        </is>
      </c>
      <c r="D15" s="20" t="n">
        <v>2022005568</v>
      </c>
      <c r="E15" s="11" t="n">
        <v>80410903</v>
      </c>
      <c r="F15" s="7" t="inlineStr">
        <is>
          <t>ΣΑΡΑΦΙΔΟΥ ΕΛΕΝΗ</t>
        </is>
      </c>
      <c r="G15" s="7" t="inlineStr">
        <is>
          <t>ERGO My Saving Simple</t>
        </is>
      </c>
      <c r="H15" s="11" t="inlineStr">
        <is>
          <t>-</t>
        </is>
      </c>
      <c r="I15" s="11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11" t="inlineStr">
        <is>
          <t>Εξαμηνιαία</t>
        </is>
      </c>
      <c r="M15" s="11" t="n">
        <v>4</v>
      </c>
      <c r="N15" s="11" t="n">
        <v>25</v>
      </c>
      <c r="O15" s="23" t="n">
        <v>75</v>
      </c>
      <c r="P15" s="40" t="n">
        <v>63.92</v>
      </c>
      <c r="Q15" s="40" t="n">
        <v>8.970000000000001</v>
      </c>
      <c r="R15" s="23" t="n">
        <v>72.89</v>
      </c>
      <c r="S15" s="40" t="n">
        <v>6.18</v>
      </c>
      <c r="T15" s="12" t="n">
        <v>0.08478529290712031</v>
      </c>
      <c r="U15" s="23" t="n">
        <v>0</v>
      </c>
      <c r="V15" s="12" t="n">
        <v>0</v>
      </c>
      <c r="W15" s="23" t="n">
        <v>0</v>
      </c>
      <c r="X15" s="7" t="inlineStr">
        <is>
          <t>Ανανέωση (4ο Έτος)</t>
        </is>
      </c>
    </row>
    <row r="16" ht="20" customHeight="1">
      <c r="A16" s="13" t="n">
        <v>11</v>
      </c>
      <c r="B16" s="13" t="inlineStr">
        <is>
          <t>27/3/2026</t>
        </is>
      </c>
      <c r="C16" s="13" t="inlineStr">
        <is>
          <t>03/2026</t>
        </is>
      </c>
      <c r="D16" s="21" t="n">
        <v>2025001066</v>
      </c>
      <c r="E16" s="13" t="n">
        <v>80410942</v>
      </c>
      <c r="F16" s="5" t="inlineStr">
        <is>
          <t>ΚΑΤΣΙΓΙΑΝΝΑΚΗ ΚΑΛΛΙΟΠΗ</t>
        </is>
      </c>
      <c r="G16" s="5" t="inlineStr">
        <is>
          <t>ERGO Health Care Simple</t>
        </is>
      </c>
      <c r="H16" s="13" t="inlineStr">
        <is>
          <t>-</t>
        </is>
      </c>
      <c r="I16" s="13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13" t="inlineStr">
        <is>
          <t>Τριμηνιαία</t>
        </is>
      </c>
      <c r="M16" s="13" t="n">
        <v>1</v>
      </c>
      <c r="N16" s="13" t="n">
        <v>15</v>
      </c>
      <c r="O16" s="34" t="n">
        <v>160</v>
      </c>
      <c r="P16" s="39" t="n">
        <v>138.63</v>
      </c>
      <c r="Q16" s="39" t="n">
        <v>7</v>
      </c>
      <c r="R16" s="34" t="n">
        <v>145.63</v>
      </c>
      <c r="S16" s="39" t="n">
        <v>0</v>
      </c>
      <c r="T16" s="14" t="n">
        <v>0</v>
      </c>
      <c r="U16" s="34" t="n">
        <v>3.56</v>
      </c>
      <c r="V16" s="14" t="n">
        <v>0.2</v>
      </c>
      <c r="W16" s="34" t="n">
        <v>3.56</v>
      </c>
      <c r="X16" s="5" t="inlineStr">
        <is>
          <t>Νέα Παραγωγή (1ο Έτος)</t>
        </is>
      </c>
    </row>
    <row r="17" ht="20" customHeight="1">
      <c r="A17" s="11" t="n">
        <v>12</v>
      </c>
      <c r="B17" s="11" t="inlineStr">
        <is>
          <t>30/3/2026</t>
        </is>
      </c>
      <c r="C17" s="11" t="inlineStr">
        <is>
          <t>03/2026</t>
        </is>
      </c>
      <c r="D17" s="20" t="n">
        <v>2025001836</v>
      </c>
      <c r="E17" s="11" t="n">
        <v>80411824</v>
      </c>
      <c r="F17" s="7" t="inlineStr">
        <is>
          <t>ΣΤΕΡΓΙΟΥ ΑΒΑΠΤΙΣΤΟ</t>
        </is>
      </c>
      <c r="G17" s="7" t="inlineStr">
        <is>
          <t>ERGO Health Care Simple</t>
        </is>
      </c>
      <c r="H17" s="11" t="inlineStr">
        <is>
          <t>-</t>
        </is>
      </c>
      <c r="I17" s="11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11" t="inlineStr">
        <is>
          <t>Τριμηνιαία</t>
        </is>
      </c>
      <c r="M17" s="11" t="n">
        <v>1</v>
      </c>
      <c r="N17" s="11" t="n">
        <v>1</v>
      </c>
      <c r="O17" s="23" t="n">
        <v>195</v>
      </c>
      <c r="P17" s="40" t="n">
        <v>0</v>
      </c>
      <c r="Q17" s="40" t="n">
        <v>174.8</v>
      </c>
      <c r="R17" s="23" t="n">
        <v>174.8</v>
      </c>
      <c r="S17" s="40" t="n">
        <v>0</v>
      </c>
      <c r="T17" s="12" t="n">
        <v>0</v>
      </c>
      <c r="U17" s="23" t="n">
        <v>9.84</v>
      </c>
      <c r="V17" s="12" t="n">
        <v>0.2</v>
      </c>
      <c r="W17" s="23" t="n">
        <v>9.84</v>
      </c>
      <c r="X17" s="7" t="inlineStr">
        <is>
          <t>Νέα Παραγωγή (1ο Έτος)</t>
        </is>
      </c>
    </row>
    <row r="18" ht="20" customHeight="1">
      <c r="A18" s="13" t="n">
        <v>13</v>
      </c>
      <c r="B18" s="13" t="inlineStr">
        <is>
          <t>5/4/2026</t>
        </is>
      </c>
      <c r="C18" s="13" t="inlineStr">
        <is>
          <t>05/2026</t>
        </is>
      </c>
      <c r="D18" s="21" t="n">
        <v>2023001613</v>
      </c>
      <c r="E18" s="13" t="n">
        <v>80412743</v>
      </c>
      <c r="F18" s="5" t="inlineStr">
        <is>
          <t>ΤΑΡΑΝΗΣ ΙΓΝΑΤΙΟΣ</t>
        </is>
      </c>
      <c r="G18" s="5" t="inlineStr">
        <is>
          <t>ERGO Health Care Advanced (€3.000)</t>
        </is>
      </c>
      <c r="H18" s="13" t="inlineStr">
        <is>
          <t>111087841</t>
        </is>
      </c>
      <c r="I18" s="13" t="inlineStr">
        <is>
          <t>6978650501</t>
        </is>
      </c>
      <c r="J18" s="6" t="inlineStr">
        <is>
          <t>-</t>
        </is>
      </c>
      <c r="K18" s="6" t="inlineStr">
        <is>
          <t>Στρ. Μυριβήλη 40, Μυτιλήνη ΤΚ 81100</t>
        </is>
      </c>
      <c r="L18" s="13" t="inlineStr">
        <is>
          <t>Ετήσια</t>
        </is>
      </c>
      <c r="M18" s="13" t="n">
        <v>4</v>
      </c>
      <c r="N18" s="13" t="n">
        <v>1</v>
      </c>
      <c r="O18" s="34" t="n">
        <v>247.37</v>
      </c>
      <c r="P18" s="39" t="n">
        <v>0</v>
      </c>
      <c r="Q18" s="39" t="n">
        <v>202.37</v>
      </c>
      <c r="R18" s="34" t="n">
        <v>202.37</v>
      </c>
      <c r="S18" s="39" t="n">
        <v>50.59</v>
      </c>
      <c r="T18" s="14" t="n">
        <v>0.2499876463902752</v>
      </c>
      <c r="U18" s="34" t="n">
        <v>10.12</v>
      </c>
      <c r="V18" s="14" t="n">
        <v>0.2000395335046452</v>
      </c>
      <c r="W18" s="34" t="n">
        <v>10.12</v>
      </c>
      <c r="X18" s="5" t="inlineStr">
        <is>
          <t>Ανανέωση (4ο Έτος)</t>
        </is>
      </c>
    </row>
    <row r="19" ht="20" customHeight="1">
      <c r="A19" s="11" t="n">
        <v>14</v>
      </c>
      <c r="B19" s="11" t="inlineStr">
        <is>
          <t>8/4/2026</t>
        </is>
      </c>
      <c r="C19" s="11" t="inlineStr">
        <is>
          <t>04/2026</t>
        </is>
      </c>
      <c r="D19" s="20" t="n">
        <v>2026000765</v>
      </c>
      <c r="E19" s="11" t="n">
        <v>126897</v>
      </c>
      <c r="F19" s="7" t="inlineStr">
        <is>
          <t>ΠΑΛΙΑΤΣΑΣ ΑΘΑΝΑΣΙΟΣ</t>
        </is>
      </c>
      <c r="G19" s="7" t="inlineStr">
        <is>
          <t>ERGO Health Care Superior (€1.500)</t>
        </is>
      </c>
      <c r="H19" s="11" t="inlineStr">
        <is>
          <t>135971330</t>
        </is>
      </c>
      <c r="I19" s="11" t="inlineStr">
        <is>
          <t>6947904961</t>
        </is>
      </c>
      <c r="J19" s="8" t="inlineStr">
        <is>
          <t>THANASISPALIATSAS@GMAIL.COM</t>
        </is>
      </c>
      <c r="K19" s="8" t="inlineStr">
        <is>
          <t>Αιτωλικού 98, Μεσολόγγι ΤΚ 30200</t>
        </is>
      </c>
      <c r="L19" s="11" t="inlineStr">
        <is>
          <t>Ετήσια</t>
        </is>
      </c>
      <c r="M19" s="11" t="n">
        <v>1</v>
      </c>
      <c r="N19" s="11" t="n">
        <v>1</v>
      </c>
      <c r="O19" s="23" t="n">
        <v>817.8</v>
      </c>
      <c r="P19" s="40" t="n">
        <v>0</v>
      </c>
      <c r="Q19" s="40" t="n">
        <v>666.12</v>
      </c>
      <c r="R19" s="23" t="n">
        <v>666.12</v>
      </c>
      <c r="S19" s="40" t="n">
        <v>193.17</v>
      </c>
      <c r="T19" s="12" t="n">
        <v>0.2899927940911547</v>
      </c>
      <c r="U19" s="23" t="n">
        <v>38.63</v>
      </c>
      <c r="V19" s="12" t="n">
        <v>0.1999792928508568</v>
      </c>
      <c r="W19" s="23" t="n">
        <v>38.63</v>
      </c>
      <c r="X19" s="7" t="inlineStr">
        <is>
          <t>Νέα Παραγωγή (1ο Έτος)</t>
        </is>
      </c>
    </row>
    <row r="20" ht="20" customHeight="1">
      <c r="A20" s="13" t="n">
        <v>15</v>
      </c>
      <c r="B20" s="13" t="inlineStr">
        <is>
          <t>27/4/2026</t>
        </is>
      </c>
      <c r="C20" s="13" t="inlineStr">
        <is>
          <t>04/2026</t>
        </is>
      </c>
      <c r="D20" s="21" t="n">
        <v>2026000161</v>
      </c>
      <c r="E20" s="13" t="n">
        <v>80415871</v>
      </c>
      <c r="F20" s="5" t="inlineStr">
        <is>
          <t>ΤΕΖΚΟΣΑΡ ΑΓΛΑΙΑ</t>
        </is>
      </c>
      <c r="G20" s="5" t="inlineStr">
        <is>
          <t>ERGO Health Care Simple (€500) + Affidea</t>
        </is>
      </c>
      <c r="H20" s="13" t="inlineStr">
        <is>
          <t>141624244</t>
        </is>
      </c>
      <c r="I20" s="13" t="inlineStr">
        <is>
          <t>6970030570</t>
        </is>
      </c>
      <c r="J20" s="6" t="inlineStr">
        <is>
          <t>hrisafaki@gmail.com</t>
        </is>
      </c>
      <c r="K20" s="6" t="inlineStr">
        <is>
          <t>Αφροδίτης 47-49, Παλαιό Φάληρο ΤΚ 17561</t>
        </is>
      </c>
      <c r="L20" s="13" t="inlineStr">
        <is>
          <t>Τριμηνιαία</t>
        </is>
      </c>
      <c r="M20" s="13" t="n">
        <v>1</v>
      </c>
      <c r="N20" s="13" t="n">
        <v>1</v>
      </c>
      <c r="O20" s="34" t="n">
        <v>475.5</v>
      </c>
      <c r="P20" s="39" t="n">
        <v>0</v>
      </c>
      <c r="Q20" s="39" t="n">
        <v>414.55</v>
      </c>
      <c r="R20" s="34" t="n">
        <v>414.55</v>
      </c>
      <c r="S20" s="39" t="n">
        <v>116.18</v>
      </c>
      <c r="T20" s="14" t="n">
        <v>0.2802556989506694</v>
      </c>
      <c r="U20" s="34" t="n">
        <v>23.24</v>
      </c>
      <c r="V20" s="14" t="n">
        <v>0.2000344293337924</v>
      </c>
      <c r="W20" s="34" t="n">
        <v>23.24</v>
      </c>
      <c r="X20" s="5" t="inlineStr">
        <is>
          <t>Νέα Παραγωγή (1ο Έτος)</t>
        </is>
      </c>
    </row>
    <row r="21" ht="20" customHeight="1">
      <c r="A21" s="11" t="n">
        <v>16</v>
      </c>
      <c r="B21" s="11" t="inlineStr">
        <is>
          <t>21/6/2026</t>
        </is>
      </c>
      <c r="C21" s="11" t="inlineStr">
        <is>
          <t>06/2026</t>
        </is>
      </c>
      <c r="D21" s="20" t="n">
        <v>296632</v>
      </c>
      <c r="E21" s="11" t="n">
        <v>80424650</v>
      </c>
      <c r="F21" s="7" t="inlineStr">
        <is>
          <t>ΚΟΝΤΟΣ ΚΩΝΣΤΑΝΤΙΝΟΣ</t>
        </is>
      </c>
      <c r="G21" s="7" t="inlineStr">
        <is>
          <t>Κλασικό Πρόγραμμα Ζωής &amp; Νοσοκομειακό</t>
        </is>
      </c>
      <c r="H21" s="11" t="inlineStr">
        <is>
          <t>124778260</t>
        </is>
      </c>
      <c r="I21" s="11" t="inlineStr">
        <is>
          <t>6977046967</t>
        </is>
      </c>
      <c r="J21" s="8" t="inlineStr">
        <is>
          <t>-</t>
        </is>
      </c>
      <c r="K21" s="8" t="inlineStr">
        <is>
          <t>Συν/ρχη Πλέσσα 84, Καλλιθέα ΤΚ 17674</t>
        </is>
      </c>
      <c r="L21" s="11" t="inlineStr">
        <is>
          <t>Τριμηνιαία</t>
        </is>
      </c>
      <c r="M21" s="11" t="n">
        <v>28</v>
      </c>
      <c r="N21" s="11" t="n">
        <v>99</v>
      </c>
      <c r="O21" s="23" t="n">
        <v>279</v>
      </c>
      <c r="P21" s="40" t="n">
        <v>16.57</v>
      </c>
      <c r="Q21" s="40" t="n">
        <v>222.37</v>
      </c>
      <c r="R21" s="23" t="n">
        <v>238.94</v>
      </c>
      <c r="S21" s="40" t="n">
        <v>0</v>
      </c>
      <c r="T21" s="12" t="n">
        <v>0</v>
      </c>
      <c r="U21" s="23" t="n">
        <v>0</v>
      </c>
      <c r="V21" s="12" t="n">
        <v>0</v>
      </c>
      <c r="W21" s="23" t="n">
        <v>0</v>
      </c>
      <c r="X21" s="7" t="inlineStr">
        <is>
          <t>Ανανέωση (28ο Έτος)</t>
        </is>
      </c>
    </row>
    <row r="22" ht="20" customHeight="1">
      <c r="A22" s="13" t="n">
        <v>17</v>
      </c>
      <c r="B22" s="13" t="inlineStr">
        <is>
          <t>27/6/2026</t>
        </is>
      </c>
      <c r="C22" s="13" t="inlineStr">
        <is>
          <t>07/2026</t>
        </is>
      </c>
      <c r="D22" s="21" t="n">
        <v>2025001066</v>
      </c>
      <c r="E22" s="13" t="n">
        <v>80425699</v>
      </c>
      <c r="F22" s="5" t="inlineStr">
        <is>
          <t>ΚΑΤΣΙΓΙΑΝΝΑΚΗ ΚΑΛΛΙΟΠΗ</t>
        </is>
      </c>
      <c r="G22" s="5" t="inlineStr">
        <is>
          <t>ERGO Health Care Simple</t>
        </is>
      </c>
      <c r="H22" s="13" t="inlineStr">
        <is>
          <t>-</t>
        </is>
      </c>
      <c r="I22" s="13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13" t="inlineStr">
        <is>
          <t>Τριμηνιαία</t>
        </is>
      </c>
      <c r="M22" s="13" t="n">
        <v>2</v>
      </c>
      <c r="N22" s="13" t="n">
        <v>15</v>
      </c>
      <c r="O22" s="34" t="n">
        <v>160</v>
      </c>
      <c r="P22" s="39" t="n">
        <v>138.63</v>
      </c>
      <c r="Q22" s="39" t="n">
        <v>7</v>
      </c>
      <c r="R22" s="34" t="n">
        <v>145.63</v>
      </c>
      <c r="S22" s="39" t="n">
        <v>0</v>
      </c>
      <c r="T22" s="14" t="n">
        <v>0</v>
      </c>
      <c r="U22" s="34" t="n">
        <v>2.88</v>
      </c>
      <c r="V22" s="14" t="n">
        <v>0.2</v>
      </c>
      <c r="W22" s="34" t="n">
        <v>2.88</v>
      </c>
      <c r="X22" s="5" t="inlineStr">
        <is>
          <t>Ανανέωση (2ο Έτος)</t>
        </is>
      </c>
    </row>
    <row r="23" ht="20" customHeight="1">
      <c r="A23" s="11" t="n">
        <v>18</v>
      </c>
      <c r="B23" s="11" t="inlineStr">
        <is>
          <t>30/6/2026</t>
        </is>
      </c>
      <c r="C23" s="11" t="inlineStr">
        <is>
          <t>06/2026</t>
        </is>
      </c>
      <c r="D23" s="20" t="n">
        <v>2025001836</v>
      </c>
      <c r="E23" s="11" t="n">
        <v>80426820</v>
      </c>
      <c r="F23" s="7" t="inlineStr">
        <is>
          <t>ΣΤΕΡΓΙΟΥ ΑΒΑΠΤΙΣΤΟ</t>
        </is>
      </c>
      <c r="G23" s="7" t="inlineStr">
        <is>
          <t>ERGO Health Care Simple</t>
        </is>
      </c>
      <c r="H23" s="11" t="inlineStr">
        <is>
          <t>-</t>
        </is>
      </c>
      <c r="I23" s="11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11" t="inlineStr">
        <is>
          <t>Τριμηνιαία</t>
        </is>
      </c>
      <c r="M23" s="11" t="n">
        <v>1</v>
      </c>
      <c r="N23" s="11" t="n">
        <v>1</v>
      </c>
      <c r="O23" s="23" t="n">
        <v>195</v>
      </c>
      <c r="P23" s="40" t="n">
        <v>0</v>
      </c>
      <c r="Q23" s="40" t="n">
        <v>174.8</v>
      </c>
      <c r="R23" s="23" t="n">
        <v>174.8</v>
      </c>
      <c r="S23" s="40" t="n">
        <v>0</v>
      </c>
      <c r="T23" s="12" t="n">
        <v>0</v>
      </c>
      <c r="U23" s="23" t="n">
        <v>9.84</v>
      </c>
      <c r="V23" s="12" t="n">
        <v>0.2</v>
      </c>
      <c r="W23" s="23" t="n">
        <v>9.84</v>
      </c>
      <c r="X23" s="7" t="inlineStr">
        <is>
          <t>Νέα Παραγωγή (1ο Έτος)</t>
        </is>
      </c>
    </row>
    <row r="24" ht="20" customHeight="1">
      <c r="A24" s="13" t="n">
        <v>19</v>
      </c>
      <c r="B24" s="13" t="inlineStr">
        <is>
          <t>13/7/2026</t>
        </is>
      </c>
      <c r="C24" s="13" t="inlineStr">
        <is>
          <t>07/2026</t>
        </is>
      </c>
      <c r="D24" s="21" t="n">
        <v>2025000058</v>
      </c>
      <c r="E24" s="13" t="n">
        <v>80428604</v>
      </c>
      <c r="F24" s="5" t="inlineStr">
        <is>
          <t>ΤΣΑΠΡΑΛΗΣ ΚΩΝΣΤΑΝΤΙΝΟΣ</t>
        </is>
      </c>
      <c r="G24" s="5" t="inlineStr">
        <is>
          <t>ERGO Best Health</t>
        </is>
      </c>
      <c r="H24" s="13" t="inlineStr">
        <is>
          <t>-</t>
        </is>
      </c>
      <c r="I24" s="13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13" t="inlineStr">
        <is>
          <t>Εξαμηνιαία</t>
        </is>
      </c>
      <c r="M24" s="13" t="n">
        <v>2</v>
      </c>
      <c r="N24" s="13" t="n">
        <v>1</v>
      </c>
      <c r="O24" s="34" t="n">
        <v>350</v>
      </c>
      <c r="P24" s="39" t="n">
        <v>0</v>
      </c>
      <c r="Q24" s="39" t="n">
        <v>322.09</v>
      </c>
      <c r="R24" s="34" t="n">
        <v>322.09</v>
      </c>
      <c r="S24" s="39" t="n">
        <v>0</v>
      </c>
      <c r="T24" s="14" t="n">
        <v>0</v>
      </c>
      <c r="U24" s="34" t="n">
        <v>15.79</v>
      </c>
      <c r="V24" s="14" t="n">
        <v>0.2</v>
      </c>
      <c r="W24" s="34" t="n">
        <v>15.79</v>
      </c>
      <c r="X24" s="5" t="inlineStr">
        <is>
          <t>Ανανέωση (2ο Έτος)</t>
        </is>
      </c>
    </row>
    <row r="25" ht="20" customHeight="1">
      <c r="A25" s="11" t="n">
        <v>20</v>
      </c>
      <c r="B25" s="11" t="inlineStr">
        <is>
          <t>27/7/2026</t>
        </is>
      </c>
      <c r="C25" s="11" t="inlineStr">
        <is>
          <t>07/2026</t>
        </is>
      </c>
      <c r="D25" s="20" t="n">
        <v>2026000161</v>
      </c>
      <c r="E25" s="11" t="n">
        <v>80430703</v>
      </c>
      <c r="F25" s="7" t="inlineStr">
        <is>
          <t>ΤΕΖΚΟΣΑΡ ΑΓΛΑΙΑ</t>
        </is>
      </c>
      <c r="G25" s="7" t="inlineStr">
        <is>
          <t>ERGO Health Care Simple (€500) + Affidea</t>
        </is>
      </c>
      <c r="H25" s="11" t="inlineStr">
        <is>
          <t>141624244</t>
        </is>
      </c>
      <c r="I25" s="11" t="inlineStr">
        <is>
          <t>6970030570</t>
        </is>
      </c>
      <c r="J25" s="8" t="inlineStr">
        <is>
          <t>hrisafaki@gmail.com</t>
        </is>
      </c>
      <c r="K25" s="8" t="inlineStr">
        <is>
          <t>Αφροδίτης 47-49, Παλαιό Φάληρο ΤΚ 17561</t>
        </is>
      </c>
      <c r="L25" s="11" t="inlineStr">
        <is>
          <t>Τριμηνιαία</t>
        </is>
      </c>
      <c r="M25" s="11" t="n">
        <v>1</v>
      </c>
      <c r="N25" s="11" t="n">
        <v>1</v>
      </c>
      <c r="O25" s="23" t="n">
        <v>475.5</v>
      </c>
      <c r="P25" s="40" t="n">
        <v>0</v>
      </c>
      <c r="Q25" s="40" t="n">
        <v>414.55</v>
      </c>
      <c r="R25" s="23" t="n">
        <v>414.55</v>
      </c>
      <c r="S25" s="40" t="n">
        <v>116.18</v>
      </c>
      <c r="T25" s="12" t="n">
        <v>0.2802556989506694</v>
      </c>
      <c r="U25" s="23" t="n">
        <v>23.24</v>
      </c>
      <c r="V25" s="12" t="n">
        <v>0.2000344293337924</v>
      </c>
      <c r="W25" s="23" t="n">
        <v>23.24</v>
      </c>
      <c r="X25" s="7" t="inlineStr">
        <is>
          <t>Νέα Παραγωγή (1ο Έτος)</t>
        </is>
      </c>
    </row>
    <row r="26" ht="24" customHeight="1">
      <c r="A26" s="50" t="inlineStr">
        <is>
          <t>ΣΥΝΟΛΑ ΚΙΝΗΣΕΩΝ 2026: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2">
        <f>SUM(O6:O25)</f>
        <v/>
      </c>
      <c r="P26" s="52">
        <f>SUM(P6:P25)</f>
        <v/>
      </c>
      <c r="Q26" s="52">
        <f>SUM(Q6:Q25)</f>
        <v/>
      </c>
      <c r="R26" s="52">
        <f>SUM(R6:R25)</f>
        <v/>
      </c>
      <c r="S26" s="52">
        <f>SUM(S6:S25)</f>
        <v/>
      </c>
      <c r="T26" s="53">
        <f>ROUND(S26/R26, 4)</f>
        <v/>
      </c>
      <c r="U26" s="52">
        <f>SUM(U6:U25)</f>
        <v/>
      </c>
      <c r="V26" s="53">
        <f>ROUND(U26/S26, 4)</f>
        <v/>
      </c>
      <c r="W26" s="52">
        <f>SUM(W6:W25)</f>
        <v/>
      </c>
      <c r="X26" s="51" t="n"/>
    </row>
    <row r="27"/>
    <row r="28"/>
    <row r="29">
      <c r="A29" s="3" t="inlineStr">
        <is>
          <t>Β. ΑΝΑΛΥΤΙΚΗ ΚΑΤΑΓΡΑΦΗ ΟΛΩΝ ΤΩΝ ΕΠΙΜΕΡΟΥΣ ΚΑΛΥΨΕΩΝ (UATOP615 COVERAGES LEDGER)</t>
        </is>
      </c>
    </row>
    <row r="30" ht="28" customHeight="1">
      <c r="A30" s="10" t="inlineStr">
        <is>
          <t>Α/Α</t>
        </is>
      </c>
      <c r="B30" s="10" t="inlineStr">
        <is>
          <t>Αρ. Συμβολαίου</t>
        </is>
      </c>
      <c r="C30" s="10" t="inlineStr">
        <is>
          <t>Αρ. Απόδειξης</t>
        </is>
      </c>
      <c r="D30" s="10" t="inlineStr">
        <is>
          <t>Ονοματεπώνυμο Πελάτη / Επωνυμία</t>
        </is>
      </c>
      <c r="E30" s="10" t="inlineStr">
        <is>
          <t>Πακέτο / Πρόγραμμα Ασφάλισης</t>
        </is>
      </c>
      <c r="F30" s="10" t="inlineStr">
        <is>
          <t>ΑΦΜ Πελάτη</t>
        </is>
      </c>
      <c r="G30" s="10" t="inlineStr">
        <is>
          <t>Τηλέφωνο</t>
        </is>
      </c>
      <c r="H30" s="10" t="inlineStr">
        <is>
          <t>Email Πελάτη</t>
        </is>
      </c>
      <c r="I30" s="10" t="inlineStr">
        <is>
          <t>Κωδικός Κάλυψης (F615KAL)</t>
        </is>
      </c>
      <c r="J30" s="10" t="inlineStr">
        <is>
          <t>Περιγραφή Κάλυψης / Παροχής (F615PER)</t>
        </is>
      </c>
      <c r="K30" s="10" t="inlineStr">
        <is>
          <t>Ασφαλισμένο Κεφάλαιο (€)</t>
        </is>
      </c>
      <c r="L30" s="10" t="inlineStr">
        <is>
          <t>Ποσό Απαλλαγής (€)</t>
        </is>
      </c>
      <c r="M30" s="10" t="inlineStr">
        <is>
          <t>Καθαρό Ασφάλιστρο Κάλυψης (€)</t>
        </is>
      </c>
      <c r="N30" s="10" t="inlineStr">
        <is>
          <t>Προμήθεια Παραγωγού (€)</t>
        </is>
      </c>
      <c r="O30" s="10" t="inlineStr">
        <is>
          <t>Προμήθεια %</t>
        </is>
      </c>
      <c r="P30" s="10" t="inlineStr">
        <is>
          <t>Υπερπρομήθεια Agency 1411 (€)</t>
        </is>
      </c>
      <c r="Q30" s="10" t="inlineStr">
        <is>
          <t>Υπερπρομήθεια %</t>
        </is>
      </c>
      <c r="R30" s="10" t="inlineStr">
        <is>
          <t>Συνολικό Έσοδο 1411 (€)</t>
        </is>
      </c>
    </row>
    <row r="31" ht="20" customHeight="1">
      <c r="A31" s="11" t="n">
        <v>1</v>
      </c>
      <c r="B31" s="20" t="n">
        <v>2026000765</v>
      </c>
      <c r="C31" s="11" t="n">
        <v>126897</v>
      </c>
      <c r="D31" s="7" t="inlineStr">
        <is>
          <t>ΠΑΛΙΑΤΣΑΣ ΑΘΑΝΑΣΙΟΣ</t>
        </is>
      </c>
      <c r="E31" s="7" t="inlineStr">
        <is>
          <t>ERGO Health Care Superior (€1.500)</t>
        </is>
      </c>
      <c r="F31" s="11" t="inlineStr">
        <is>
          <t>135971330</t>
        </is>
      </c>
      <c r="G31" s="11" t="inlineStr">
        <is>
          <t>6947904961</t>
        </is>
      </c>
      <c r="H31" s="8" t="inlineStr">
        <is>
          <t>THANASISPALIATSAS@GMAIL.COM</t>
        </is>
      </c>
      <c r="I31" s="11" t="n">
        <v>20318</v>
      </c>
      <c r="J31" s="7" t="inlineStr">
        <is>
          <t>ERGO HEALTH CARE SUPERIOR ΑΠΑΛΛΑΓΗ 1.500</t>
        </is>
      </c>
      <c r="K31" s="40" t="n">
        <v>750000</v>
      </c>
      <c r="L31" s="40" t="n">
        <v>1500</v>
      </c>
      <c r="M31" s="23" t="n">
        <v>666.12</v>
      </c>
      <c r="N31" s="23" t="n">
        <v>193.17</v>
      </c>
      <c r="O31" s="12" t="n">
        <v>0.2899927940911547</v>
      </c>
      <c r="P31" s="23" t="n">
        <v>38.63</v>
      </c>
      <c r="Q31" s="12" t="n">
        <v>0.2</v>
      </c>
      <c r="R31" s="23" t="n">
        <v>231.8</v>
      </c>
    </row>
    <row r="32" ht="20" customHeight="1">
      <c r="A32" s="13" t="n">
        <v>2</v>
      </c>
      <c r="B32" s="21" t="n">
        <v>2026000765</v>
      </c>
      <c r="C32" s="13" t="n">
        <v>126897</v>
      </c>
      <c r="D32" s="5" t="inlineStr">
        <is>
          <t>ΠΑΛΙΑΤΣΑΣ ΑΘΑΝΑΣΙΟΣ</t>
        </is>
      </c>
      <c r="E32" s="5" t="inlineStr">
        <is>
          <t>ERGO Health Care Superior (€1.500)</t>
        </is>
      </c>
      <c r="F32" s="13" t="inlineStr">
        <is>
          <t>135971330</t>
        </is>
      </c>
      <c r="G32" s="13" t="inlineStr">
        <is>
          <t>6947904961</t>
        </is>
      </c>
      <c r="H32" s="6" t="inlineStr">
        <is>
          <t>THANASISPALIATSAS@GMAIL.COM</t>
        </is>
      </c>
      <c r="I32" s="13" t="n">
        <v>112018</v>
      </c>
      <c r="J32" s="5" t="inlineStr">
        <is>
          <t>ERGO HEALTH CARE SUPERIOR</t>
        </is>
      </c>
      <c r="K32" s="39" t="n">
        <v>0</v>
      </c>
      <c r="L32" s="39" t="n">
        <v>0</v>
      </c>
      <c r="M32" s="34" t="n">
        <v>0</v>
      </c>
      <c r="N32" s="34" t="n">
        <v>0</v>
      </c>
      <c r="O32" s="14" t="n">
        <v>0</v>
      </c>
      <c r="P32" s="34" t="n">
        <v>0</v>
      </c>
      <c r="Q32" s="14" t="n">
        <v>0</v>
      </c>
      <c r="R32" s="34" t="n">
        <v>0</v>
      </c>
    </row>
    <row r="33" ht="20" customHeight="1">
      <c r="A33" s="11" t="n">
        <v>3</v>
      </c>
      <c r="B33" s="20" t="n">
        <v>2026000161</v>
      </c>
      <c r="C33" s="11" t="n">
        <v>80430703</v>
      </c>
      <c r="D33" s="7" t="inlineStr">
        <is>
          <t>ΤΕΖΚΟΣΑΡ ΑΓΛΑΙΑ</t>
        </is>
      </c>
      <c r="E33" s="7" t="inlineStr">
        <is>
          <t>ERGO Health Care Simple (€500) + Affidea</t>
        </is>
      </c>
      <c r="F33" s="11" t="inlineStr">
        <is>
          <t>141624244</t>
        </is>
      </c>
      <c r="G33" s="11" t="inlineStr">
        <is>
          <t>6970030570</t>
        </is>
      </c>
      <c r="H33" s="8" t="inlineStr">
        <is>
          <t>hrisafaki@gmail.com</t>
        </is>
      </c>
      <c r="I33" s="11" t="n">
        <v>21018</v>
      </c>
      <c r="J33" s="7" t="inlineStr">
        <is>
          <t>ERGO HEALTH CARE SIMPLE ΑΠΑΛΛΑΓΗ 500</t>
        </is>
      </c>
      <c r="K33" s="40" t="n">
        <v>300000</v>
      </c>
      <c r="L33" s="40" t="n">
        <v>500</v>
      </c>
      <c r="M33" s="23" t="n">
        <v>301</v>
      </c>
      <c r="N33" s="23" t="n">
        <v>108.9</v>
      </c>
      <c r="O33" s="12" t="n">
        <v>0.3617940199335548</v>
      </c>
      <c r="P33" s="23" t="n">
        <v>21.78</v>
      </c>
      <c r="Q33" s="12" t="n">
        <v>0.2</v>
      </c>
      <c r="R33" s="23" t="n">
        <v>130.68</v>
      </c>
    </row>
    <row r="34" ht="20" customHeight="1">
      <c r="A34" s="13" t="n">
        <v>4</v>
      </c>
      <c r="B34" s="21" t="n">
        <v>2026000161</v>
      </c>
      <c r="C34" s="13" t="n">
        <v>80430703</v>
      </c>
      <c r="D34" s="5" t="inlineStr">
        <is>
          <t>ΤΕΖΚΟΣΑΡ ΑΓΛΑΙΑ</t>
        </is>
      </c>
      <c r="E34" s="5" t="inlineStr">
        <is>
          <t>ERGO Health Care Simple (€500) + Affidea</t>
        </is>
      </c>
      <c r="F34" s="13" t="inlineStr">
        <is>
          <t>141624244</t>
        </is>
      </c>
      <c r="G34" s="13" t="inlineStr">
        <is>
          <t>6970030570</t>
        </is>
      </c>
      <c r="H34" s="6" t="inlineStr">
        <is>
          <t>hrisafaki@gmail.com</t>
        </is>
      </c>
      <c r="I34" s="13" t="n">
        <v>20121</v>
      </c>
      <c r="J34" s="5" t="inlineStr">
        <is>
          <t>Πρωτοβάθμια Περίθαλψη Υγείας 1</t>
        </is>
      </c>
      <c r="K34" s="39" t="n">
        <v>0</v>
      </c>
      <c r="L34" s="39" t="n">
        <v>0</v>
      </c>
      <c r="M34" s="34" t="n">
        <v>13.23</v>
      </c>
      <c r="N34" s="34" t="n">
        <v>0</v>
      </c>
      <c r="O34" s="14" t="n">
        <v>0</v>
      </c>
      <c r="P34" s="34" t="n">
        <v>0</v>
      </c>
      <c r="Q34" s="14" t="n">
        <v>0</v>
      </c>
      <c r="R34" s="34" t="n">
        <v>0</v>
      </c>
    </row>
    <row r="35" ht="20" customHeight="1">
      <c r="A35" s="11" t="n">
        <v>5</v>
      </c>
      <c r="B35" s="20" t="n">
        <v>2026000161</v>
      </c>
      <c r="C35" s="11" t="n">
        <v>80430703</v>
      </c>
      <c r="D35" s="7" t="inlineStr">
        <is>
          <t>ΤΕΖΚΟΣΑΡ ΑΓΛΑΙΑ</t>
        </is>
      </c>
      <c r="E35" s="7" t="inlineStr">
        <is>
          <t>ERGO Health Care Simple (€500) + Affidea</t>
        </is>
      </c>
      <c r="F35" s="11" t="inlineStr">
        <is>
          <t>141624244</t>
        </is>
      </c>
      <c r="G35" s="11" t="inlineStr">
        <is>
          <t>6970030570</t>
        </is>
      </c>
      <c r="H35" s="8" t="inlineStr">
        <is>
          <t>hrisafaki@gmail.com</t>
        </is>
      </c>
      <c r="I35" s="11" t="n">
        <v>20121</v>
      </c>
      <c r="J35" s="7" t="inlineStr">
        <is>
          <t>Πρωτοβάθμια Περίθαλψη Υγείας 1</t>
        </is>
      </c>
      <c r="K35" s="40" t="n">
        <v>0</v>
      </c>
      <c r="L35" s="40" t="n">
        <v>0</v>
      </c>
      <c r="M35" s="23" t="n">
        <v>14.55</v>
      </c>
      <c r="N35" s="23" t="n">
        <v>7.28</v>
      </c>
      <c r="O35" s="12" t="n">
        <v>0.5003436426116838</v>
      </c>
      <c r="P35" s="23" t="n">
        <v>1.46</v>
      </c>
      <c r="Q35" s="12" t="n">
        <v>0.2</v>
      </c>
      <c r="R35" s="23" t="n">
        <v>8.74</v>
      </c>
    </row>
    <row r="36" ht="20" customHeight="1">
      <c r="A36" s="13" t="n">
        <v>6</v>
      </c>
      <c r="B36" s="21" t="n">
        <v>2026000161</v>
      </c>
      <c r="C36" s="13" t="n">
        <v>80430703</v>
      </c>
      <c r="D36" s="5" t="inlineStr">
        <is>
          <t>ΤΕΖΚΟΣΑΡ ΑΓΛΑΙΑ</t>
        </is>
      </c>
      <c r="E36" s="5" t="inlineStr">
        <is>
          <t>ERGO Health Care Simple (€500) + Affidea</t>
        </is>
      </c>
      <c r="F36" s="13" t="inlineStr">
        <is>
          <t>141624244</t>
        </is>
      </c>
      <c r="G36" s="13" t="inlineStr">
        <is>
          <t>6970030570</t>
        </is>
      </c>
      <c r="H36" s="6" t="inlineStr">
        <is>
          <t>hrisafaki@gmail.com</t>
        </is>
      </c>
      <c r="I36" s="13" t="n">
        <v>112218</v>
      </c>
      <c r="J36" s="5" t="inlineStr">
        <is>
          <t>ERGO HEALTH CARE SIMPLE</t>
        </is>
      </c>
      <c r="K36" s="39" t="n">
        <v>0</v>
      </c>
      <c r="L36" s="39" t="n">
        <v>0</v>
      </c>
      <c r="M36" s="34" t="n">
        <v>0</v>
      </c>
      <c r="N36" s="34" t="n">
        <v>0</v>
      </c>
      <c r="O36" s="14" t="n">
        <v>0</v>
      </c>
      <c r="P36" s="34" t="n">
        <v>0</v>
      </c>
      <c r="Q36" s="14" t="n">
        <v>0</v>
      </c>
      <c r="R36" s="34" t="n">
        <v>0</v>
      </c>
    </row>
    <row r="37" ht="20" customHeight="1">
      <c r="A37" s="11" t="n">
        <v>7</v>
      </c>
      <c r="B37" s="20" t="n">
        <v>2026000161</v>
      </c>
      <c r="C37" s="11" t="n">
        <v>80430703</v>
      </c>
      <c r="D37" s="7" t="inlineStr">
        <is>
          <t>ΤΕΖΚΟΣΑΡ ΑΓΛΑΙΑ</t>
        </is>
      </c>
      <c r="E37" s="7" t="inlineStr">
        <is>
          <t>ERGO Health Care Simple (€500) + Affidea</t>
        </is>
      </c>
      <c r="F37" s="11" t="inlineStr">
        <is>
          <t>141624244</t>
        </is>
      </c>
      <c r="G37" s="11" t="inlineStr">
        <is>
          <t>6970030570</t>
        </is>
      </c>
      <c r="H37" s="8" t="inlineStr">
        <is>
          <t>hrisafaki@gmail.com</t>
        </is>
      </c>
      <c r="I37" s="11" t="n">
        <v>21018</v>
      </c>
      <c r="J37" s="7" t="inlineStr">
        <is>
          <t>ERGO HEALTH CARE SIMPLE ΑΠΑΛΛΑΓΗ 500</t>
        </is>
      </c>
      <c r="K37" s="40" t="n">
        <v>300000</v>
      </c>
      <c r="L37" s="40" t="n">
        <v>500</v>
      </c>
      <c r="M37" s="23" t="n">
        <v>85.77</v>
      </c>
      <c r="N37" s="23" t="n">
        <v>0</v>
      </c>
      <c r="O37" s="12" t="n">
        <v>0</v>
      </c>
      <c r="P37" s="23" t="n">
        <v>0</v>
      </c>
      <c r="Q37" s="12" t="n">
        <v>0</v>
      </c>
      <c r="R37" s="23" t="n">
        <v>0</v>
      </c>
    </row>
    <row r="38" ht="20" customHeight="1">
      <c r="A38" s="67" t="n">
        <v>8</v>
      </c>
      <c r="B38" s="68" t="n">
        <v>2025000256</v>
      </c>
      <c r="C38" s="67" t="n">
        <v>80404824</v>
      </c>
      <c r="D38" s="69" t="inlineStr">
        <is>
          <t>ΒΑΒΑΤΣΙΚΟΣ ΔΗΜΗΤΡΙΟΣ</t>
        </is>
      </c>
      <c r="E38" s="69" t="inlineStr">
        <is>
          <t>ERGO Health Care Advanced (€500)</t>
        </is>
      </c>
      <c r="F38" s="67" t="inlineStr">
        <is>
          <t>160251127</t>
        </is>
      </c>
      <c r="G38" s="67" t="inlineStr">
        <is>
          <t>6985987796</t>
        </is>
      </c>
      <c r="H38" s="70" t="inlineStr">
        <is>
          <t>DIMVAVATSIKOS@GMAIL.COM</t>
        </is>
      </c>
      <c r="I38" s="67" t="n">
        <v>20718</v>
      </c>
      <c r="J38" s="71" t="inlineStr">
        <is>
          <t>ERGO HEALTH CARE ADVANCED ΑΠΑΛΛΑΓΗ 500</t>
        </is>
      </c>
      <c r="K38" s="72" t="n">
        <v>300000</v>
      </c>
      <c r="L38" s="72" t="n">
        <v>500</v>
      </c>
      <c r="M38" s="73" t="n">
        <v>-813.27</v>
      </c>
      <c r="N38" s="73" t="n">
        <v>-203.32</v>
      </c>
      <c r="O38" s="74" t="n">
        <v>0.2500030740098614</v>
      </c>
      <c r="P38" s="73" t="n">
        <v>-40.66</v>
      </c>
      <c r="Q38" s="74" t="n">
        <v>0.2</v>
      </c>
      <c r="R38" s="73" t="n">
        <v>-243.98</v>
      </c>
    </row>
    <row r="39" ht="20" customHeight="1">
      <c r="A39" s="11" t="n">
        <v>9</v>
      </c>
      <c r="B39" s="20" t="n">
        <v>2026000457</v>
      </c>
      <c r="C39" s="11" t="n">
        <v>126592</v>
      </c>
      <c r="D39" s="7" t="inlineStr">
        <is>
          <t>ΜΟΥΛΑΚΑΚΗΣ ΓΡΗΓΟΡΙΟΣ (FTTB IKE)</t>
        </is>
      </c>
      <c r="E39" s="7" t="inlineStr">
        <is>
          <t>Ασφάλιση Ζωής &amp; Ατυχήματος (Standard Life)</t>
        </is>
      </c>
      <c r="F39" s="11" t="inlineStr">
        <is>
          <t>800769452</t>
        </is>
      </c>
      <c r="G39" s="11" t="inlineStr">
        <is>
          <t>6948487836</t>
        </is>
      </c>
      <c r="H39" s="8" t="inlineStr">
        <is>
          <t>GMULAKAKIS@GMAIL.COM</t>
        </is>
      </c>
      <c r="I39" s="11" t="n">
        <v>110318</v>
      </c>
      <c r="J39" s="7" t="inlineStr">
        <is>
          <t>ΠΡΟΣΚΑΙΡΗ ΑΣΦΑΛΙΣΗ ΘΑΝΑΤΟΥ</t>
        </is>
      </c>
      <c r="K39" s="40" t="n">
        <v>30000</v>
      </c>
      <c r="L39" s="40" t="n">
        <v>0</v>
      </c>
      <c r="M39" s="23" t="n">
        <v>390.36</v>
      </c>
      <c r="N39" s="23" t="n">
        <v>97.59</v>
      </c>
      <c r="O39" s="12" t="n">
        <v>0.25</v>
      </c>
      <c r="P39" s="23" t="n">
        <v>19.52</v>
      </c>
      <c r="Q39" s="12" t="n">
        <v>0.2</v>
      </c>
      <c r="R39" s="23" t="n">
        <v>117.11</v>
      </c>
    </row>
    <row r="40" ht="20" customHeight="1">
      <c r="A40" s="13" t="n">
        <v>10</v>
      </c>
      <c r="B40" s="21" t="n">
        <v>2023001613</v>
      </c>
      <c r="C40" s="13" t="n">
        <v>80412743</v>
      </c>
      <c r="D40" s="5" t="inlineStr">
        <is>
          <t>ΤΑΡΑΝΗΣ ΙΓΝΑΤΙΟΣ</t>
        </is>
      </c>
      <c r="E40" s="5" t="inlineStr">
        <is>
          <t>ERGO Health Care Advanced (€3.000)</t>
        </is>
      </c>
      <c r="F40" s="13" t="inlineStr">
        <is>
          <t>111087841</t>
        </is>
      </c>
      <c r="G40" s="13" t="inlineStr">
        <is>
          <t>6978650501</t>
        </is>
      </c>
      <c r="H40" s="6" t="inlineStr">
        <is>
          <t>-</t>
        </is>
      </c>
      <c r="I40" s="13" t="n">
        <v>112118</v>
      </c>
      <c r="J40" s="5" t="inlineStr">
        <is>
          <t>ERGO HEALTH CARE ADVANCED</t>
        </is>
      </c>
      <c r="K40" s="39" t="n">
        <v>0</v>
      </c>
      <c r="L40" s="39" t="n">
        <v>0</v>
      </c>
      <c r="M40" s="34" t="n">
        <v>0</v>
      </c>
      <c r="N40" s="34" t="n">
        <v>0</v>
      </c>
      <c r="O40" s="14" t="n">
        <v>0</v>
      </c>
      <c r="P40" s="34" t="n">
        <v>0</v>
      </c>
      <c r="Q40" s="14" t="n">
        <v>0</v>
      </c>
      <c r="R40" s="34" t="n">
        <v>0</v>
      </c>
    </row>
    <row r="41" ht="20" customHeight="1">
      <c r="A41" s="11" t="n">
        <v>11</v>
      </c>
      <c r="B41" s="20" t="n">
        <v>2026000161</v>
      </c>
      <c r="C41" s="11" t="n">
        <v>80415871</v>
      </c>
      <c r="D41" s="7" t="inlineStr">
        <is>
          <t>ΤΕΖΚΟΣΑΡ ΑΓΛΑΙΑ</t>
        </is>
      </c>
      <c r="E41" s="7" t="inlineStr">
        <is>
          <t>ERGO Health Care Simple (€500) + Affidea</t>
        </is>
      </c>
      <c r="F41" s="11" t="inlineStr">
        <is>
          <t>141624244</t>
        </is>
      </c>
      <c r="G41" s="11" t="inlineStr">
        <is>
          <t>6970030570</t>
        </is>
      </c>
      <c r="H41" s="8" t="inlineStr">
        <is>
          <t>hrisafaki@gmail.com</t>
        </is>
      </c>
      <c r="I41" s="11" t="n">
        <v>112218</v>
      </c>
      <c r="J41" s="7" t="inlineStr">
        <is>
          <t>ERGO HEALTH CARE SIMPLE</t>
        </is>
      </c>
      <c r="K41" s="40" t="n">
        <v>0</v>
      </c>
      <c r="L41" s="40" t="n">
        <v>0</v>
      </c>
      <c r="M41" s="23" t="n">
        <v>0</v>
      </c>
      <c r="N41" s="23" t="n">
        <v>0</v>
      </c>
      <c r="O41" s="12" t="n">
        <v>0</v>
      </c>
      <c r="P41" s="23" t="n">
        <v>0</v>
      </c>
      <c r="Q41" s="12" t="n">
        <v>0</v>
      </c>
      <c r="R41" s="23" t="n">
        <v>0</v>
      </c>
    </row>
    <row r="42" ht="20" customHeight="1">
      <c r="A42" s="13" t="n">
        <v>12</v>
      </c>
      <c r="B42" s="21" t="n">
        <v>2023001613</v>
      </c>
      <c r="C42" s="13" t="n">
        <v>80412743</v>
      </c>
      <c r="D42" s="5" t="inlineStr">
        <is>
          <t>ΤΑΡΑΝΗΣ ΙΓΝΑΤΙΟΣ</t>
        </is>
      </c>
      <c r="E42" s="5" t="inlineStr">
        <is>
          <t>ERGO Health Care Advanced (€3.000)</t>
        </is>
      </c>
      <c r="F42" s="13" t="inlineStr">
        <is>
          <t>111087841</t>
        </is>
      </c>
      <c r="G42" s="13" t="inlineStr">
        <is>
          <t>6978650501</t>
        </is>
      </c>
      <c r="H42" s="6" t="inlineStr">
        <is>
          <t>-</t>
        </is>
      </c>
      <c r="I42" s="13" t="n">
        <v>20918</v>
      </c>
      <c r="J42" s="5" t="inlineStr">
        <is>
          <t>ERGO HEALTH CARE ADVANCED ΑΠΑΛΛΑΓΗ 3.000</t>
        </is>
      </c>
      <c r="K42" s="39" t="n">
        <v>300000</v>
      </c>
      <c r="L42" s="39" t="n">
        <v>3000</v>
      </c>
      <c r="M42" s="34" t="n">
        <v>202.37</v>
      </c>
      <c r="N42" s="34" t="n">
        <v>50.59</v>
      </c>
      <c r="O42" s="14" t="n">
        <v>0.2499876463902752</v>
      </c>
      <c r="P42" s="34" t="n">
        <v>10.12</v>
      </c>
      <c r="Q42" s="14" t="n">
        <v>0.2</v>
      </c>
      <c r="R42" s="34" t="n">
        <v>60.71</v>
      </c>
    </row>
    <row r="43" ht="20" customHeight="1">
      <c r="A43" s="11" t="n">
        <v>13</v>
      </c>
      <c r="B43" s="20" t="n">
        <v>2026000161</v>
      </c>
      <c r="C43" s="11" t="n">
        <v>80415871</v>
      </c>
      <c r="D43" s="7" t="inlineStr">
        <is>
          <t>ΤΕΖΚΟΣΑΡ ΑΓΛΑΙΑ</t>
        </is>
      </c>
      <c r="E43" s="7" t="inlineStr">
        <is>
          <t>ERGO Health Care Simple (€500) + Affidea</t>
        </is>
      </c>
      <c r="F43" s="11" t="inlineStr">
        <is>
          <t>141624244</t>
        </is>
      </c>
      <c r="G43" s="11" t="inlineStr">
        <is>
          <t>6970030570</t>
        </is>
      </c>
      <c r="H43" s="8" t="inlineStr">
        <is>
          <t>hrisafaki@gmail.com</t>
        </is>
      </c>
      <c r="I43" s="11" t="n">
        <v>21018</v>
      </c>
      <c r="J43" s="7" t="inlineStr">
        <is>
          <t>ERGO HEALTH CARE SIMPLE ΑΠΑΛΛΑΓΗ 500</t>
        </is>
      </c>
      <c r="K43" s="40" t="n">
        <v>300000</v>
      </c>
      <c r="L43" s="40" t="n">
        <v>500</v>
      </c>
      <c r="M43" s="23" t="n">
        <v>85.77</v>
      </c>
      <c r="N43" s="23" t="n">
        <v>0</v>
      </c>
      <c r="O43" s="12" t="n">
        <v>0</v>
      </c>
      <c r="P43" s="23" t="n">
        <v>0</v>
      </c>
      <c r="Q43" s="12" t="n">
        <v>0</v>
      </c>
      <c r="R43" s="23" t="n">
        <v>0</v>
      </c>
    </row>
    <row r="44" ht="20" customHeight="1">
      <c r="A44" s="13" t="n">
        <v>14</v>
      </c>
      <c r="B44" s="21" t="n">
        <v>2026000457</v>
      </c>
      <c r="C44" s="13" t="n">
        <v>126592</v>
      </c>
      <c r="D44" s="5" t="inlineStr">
        <is>
          <t>ΜΟΥΛΑΚΑΚΗΣ ΓΡΗΓΟΡΙΟΣ (FTTB IKE)</t>
        </is>
      </c>
      <c r="E44" s="5" t="inlineStr">
        <is>
          <t>Ασφάλιση Ζωής &amp; Ατυχήματος (Standard Life)</t>
        </is>
      </c>
      <c r="F44" s="13" t="inlineStr">
        <is>
          <t>800769452</t>
        </is>
      </c>
      <c r="G44" s="13" t="inlineStr">
        <is>
          <t>6948487836</t>
        </is>
      </c>
      <c r="H44" s="6" t="inlineStr">
        <is>
          <t>GMULAKAKIS@GMAIL.COM</t>
        </is>
      </c>
      <c r="I44" s="13" t="n">
        <v>131318</v>
      </c>
      <c r="J44" s="5" t="inlineStr">
        <is>
          <t>ΝΟΣΟΚΟΜΕΙΑΚΟ ΕΠΙΔΟΜΑ ΑΣΘ/ΑΤΥΧ ΜΕ ΕΠΙΔ ΑΝΑΡ</t>
        </is>
      </c>
      <c r="K44" s="39" t="n">
        <v>50</v>
      </c>
      <c r="L44" s="39" t="n">
        <v>0</v>
      </c>
      <c r="M44" s="34" t="n">
        <v>185</v>
      </c>
      <c r="N44" s="34" t="n">
        <v>50.88</v>
      </c>
      <c r="O44" s="14" t="n">
        <v>0.275027027027027</v>
      </c>
      <c r="P44" s="34" t="n">
        <v>10.18</v>
      </c>
      <c r="Q44" s="14" t="n">
        <v>0.2</v>
      </c>
      <c r="R44" s="34" t="n">
        <v>61.06</v>
      </c>
    </row>
    <row r="45" ht="20" customHeight="1">
      <c r="A45" s="11" t="n">
        <v>15</v>
      </c>
      <c r="B45" s="20" t="n">
        <v>2026000161</v>
      </c>
      <c r="C45" s="11" t="n">
        <v>80415871</v>
      </c>
      <c r="D45" s="7" t="inlineStr">
        <is>
          <t>ΤΕΖΚΟΣΑΡ ΑΓΛΑΙΑ</t>
        </is>
      </c>
      <c r="E45" s="7" t="inlineStr">
        <is>
          <t>ERGO Health Care Simple (€500) + Affidea</t>
        </is>
      </c>
      <c r="F45" s="11" t="inlineStr">
        <is>
          <t>141624244</t>
        </is>
      </c>
      <c r="G45" s="11" t="inlineStr">
        <is>
          <t>6970030570</t>
        </is>
      </c>
      <c r="H45" s="8" t="inlineStr">
        <is>
          <t>hrisafaki@gmail.com</t>
        </is>
      </c>
      <c r="I45" s="11" t="n">
        <v>21018</v>
      </c>
      <c r="J45" s="7" t="inlineStr">
        <is>
          <t>ERGO HEALTH CARE SIMPLE ΑΠΑΛΛΑΓΗ 500</t>
        </is>
      </c>
      <c r="K45" s="40" t="n">
        <v>300000</v>
      </c>
      <c r="L45" s="40" t="n">
        <v>500</v>
      </c>
      <c r="M45" s="23" t="n">
        <v>301</v>
      </c>
      <c r="N45" s="23" t="n">
        <v>108.9</v>
      </c>
      <c r="O45" s="12" t="n">
        <v>0.3617940199335548</v>
      </c>
      <c r="P45" s="23" t="n">
        <v>21.78</v>
      </c>
      <c r="Q45" s="12" t="n">
        <v>0.2</v>
      </c>
      <c r="R45" s="23" t="n">
        <v>130.68</v>
      </c>
    </row>
    <row r="46" ht="20" customHeight="1">
      <c r="A46" s="13" t="n">
        <v>16</v>
      </c>
      <c r="B46" s="21" t="n">
        <v>2025000256</v>
      </c>
      <c r="C46" s="13" t="n">
        <v>80404824</v>
      </c>
      <c r="D46" s="5" t="inlineStr">
        <is>
          <t>ΒΑΒΑΤΣΙΚΟΣ ΔΗΜΗΤΡΙΟΣ</t>
        </is>
      </c>
      <c r="E46" s="5" t="inlineStr">
        <is>
          <t>ERGO Health Care Advanced (€500)</t>
        </is>
      </c>
      <c r="F46" s="13" t="inlineStr">
        <is>
          <t>160251127</t>
        </is>
      </c>
      <c r="G46" s="13" t="inlineStr">
        <is>
          <t>6985987796</t>
        </is>
      </c>
      <c r="H46" s="6" t="inlineStr">
        <is>
          <t>DIMVAVATSIKOS@GMAIL.COM</t>
        </is>
      </c>
      <c r="I46" s="13" t="n">
        <v>112118</v>
      </c>
      <c r="J46" s="5" t="inlineStr">
        <is>
          <t>ERGO HEALTH CARE ADVANCED</t>
        </is>
      </c>
      <c r="K46" s="39" t="n">
        <v>0</v>
      </c>
      <c r="L46" s="39" t="n">
        <v>0</v>
      </c>
      <c r="M46" s="34" t="n">
        <v>0</v>
      </c>
      <c r="N46" s="34" t="n">
        <v>0</v>
      </c>
      <c r="O46" s="14" t="n">
        <v>0</v>
      </c>
      <c r="P46" s="34" t="n">
        <v>0</v>
      </c>
      <c r="Q46" s="14" t="n">
        <v>0</v>
      </c>
      <c r="R46" s="34" t="n">
        <v>0</v>
      </c>
    </row>
    <row r="47" ht="20" customHeight="1">
      <c r="A47" s="11" t="n">
        <v>17</v>
      </c>
      <c r="B47" s="20" t="n">
        <v>2026000457</v>
      </c>
      <c r="C47" s="11" t="n">
        <v>126592</v>
      </c>
      <c r="D47" s="7" t="inlineStr">
        <is>
          <t>ΜΟΥΛΑΚΑΚΗΣ ΓΡΗΓΟΡΙΟΣ (FTTB IKE)</t>
        </is>
      </c>
      <c r="E47" s="7" t="inlineStr">
        <is>
          <t>Ασφάλιση Ζωής &amp; Ατυχήματος (Standard Life)</t>
        </is>
      </c>
      <c r="F47" s="11" t="inlineStr">
        <is>
          <t>800769452</t>
        </is>
      </c>
      <c r="G47" s="11" t="inlineStr">
        <is>
          <t>6948487836</t>
        </is>
      </c>
      <c r="H47" s="8" t="inlineStr">
        <is>
          <t>GMULAKAKIS@GMAIL.COM</t>
        </is>
      </c>
      <c r="I47" s="11" t="n">
        <v>130418</v>
      </c>
      <c r="J47" s="7" t="inlineStr">
        <is>
          <t>ΙΑΤΡΟΦΑΡΜΑΚΕΥΤΙΚΑ ΕΞΟΔΑ ΑΠΟ ΑΤΥΧΗΜΑ</t>
        </is>
      </c>
      <c r="K47" s="40" t="n">
        <v>1500</v>
      </c>
      <c r="L47" s="40" t="n">
        <v>0</v>
      </c>
      <c r="M47" s="23" t="n">
        <v>64.8</v>
      </c>
      <c r="N47" s="23" t="n">
        <v>19.44</v>
      </c>
      <c r="O47" s="12" t="n">
        <v>0.3</v>
      </c>
      <c r="P47" s="23" t="n">
        <v>3.89</v>
      </c>
      <c r="Q47" s="12" t="n">
        <v>0.2</v>
      </c>
      <c r="R47" s="23" t="n">
        <v>23.33</v>
      </c>
    </row>
    <row r="48" ht="20" customHeight="1">
      <c r="A48" s="13" t="n">
        <v>18</v>
      </c>
      <c r="B48" s="21" t="n">
        <v>2026000161</v>
      </c>
      <c r="C48" s="13" t="n">
        <v>80415871</v>
      </c>
      <c r="D48" s="5" t="inlineStr">
        <is>
          <t>ΤΕΖΚΟΣΑΡ ΑΓΛΑΙΑ</t>
        </is>
      </c>
      <c r="E48" s="5" t="inlineStr">
        <is>
          <t>ERGO Health Care Simple (€500) + Affidea</t>
        </is>
      </c>
      <c r="F48" s="13" t="inlineStr">
        <is>
          <t>141624244</t>
        </is>
      </c>
      <c r="G48" s="13" t="inlineStr">
        <is>
          <t>6970030570</t>
        </is>
      </c>
      <c r="H48" s="6" t="inlineStr">
        <is>
          <t>hrisafaki@gmail.com</t>
        </is>
      </c>
      <c r="I48" s="13" t="n">
        <v>20121</v>
      </c>
      <c r="J48" s="5" t="inlineStr">
        <is>
          <t>Πρωτοβάθμια Περίθαλψη Υγείας 1</t>
        </is>
      </c>
      <c r="K48" s="39" t="n">
        <v>0</v>
      </c>
      <c r="L48" s="39" t="n">
        <v>0</v>
      </c>
      <c r="M48" s="34" t="n">
        <v>13.23</v>
      </c>
      <c r="N48" s="34" t="n">
        <v>0</v>
      </c>
      <c r="O48" s="14" t="n">
        <v>0</v>
      </c>
      <c r="P48" s="34" t="n">
        <v>0</v>
      </c>
      <c r="Q48" s="14" t="n">
        <v>0</v>
      </c>
      <c r="R48" s="34" t="n">
        <v>0</v>
      </c>
    </row>
    <row r="49" ht="20" customHeight="1">
      <c r="A49" s="67" t="n">
        <v>19</v>
      </c>
      <c r="B49" s="68" t="n">
        <v>2025000256</v>
      </c>
      <c r="C49" s="67" t="n">
        <v>80404824</v>
      </c>
      <c r="D49" s="69" t="inlineStr">
        <is>
          <t>ΒΑΒΑΤΣΙΚΟΣ ΔΗΜΗΤΡΙΟΣ</t>
        </is>
      </c>
      <c r="E49" s="69" t="inlineStr">
        <is>
          <t>ERGO Health Care Advanced (€500)</t>
        </is>
      </c>
      <c r="F49" s="67" t="inlineStr">
        <is>
          <t>160251127</t>
        </is>
      </c>
      <c r="G49" s="67" t="inlineStr">
        <is>
          <t>6985987796</t>
        </is>
      </c>
      <c r="H49" s="70" t="inlineStr">
        <is>
          <t>DIMVAVATSIKOS@GMAIL.COM</t>
        </is>
      </c>
      <c r="I49" s="67" t="n">
        <v>21218</v>
      </c>
      <c r="J49" s="71" t="inlineStr">
        <is>
          <t>ΕΞΩΝΟΣΟΚΟΜΕΙΑΚΗ ΠΕΡΙΘΑΛΨΗ (ΕΤΗΣΙΩΣ ΑΝΑΝΕΟΥΜΕΝΗ)</t>
        </is>
      </c>
      <c r="K49" s="72" t="n">
        <v>2000</v>
      </c>
      <c r="L49" s="72" t="n">
        <v>0</v>
      </c>
      <c r="M49" s="73" t="n">
        <v>-280.68</v>
      </c>
      <c r="N49" s="73" t="n">
        <v>-61.75</v>
      </c>
      <c r="O49" s="74" t="n">
        <v>0.220001425110446</v>
      </c>
      <c r="P49" s="73" t="n">
        <v>-12.35</v>
      </c>
      <c r="Q49" s="74" t="n">
        <v>0.2</v>
      </c>
      <c r="R49" s="73" t="n">
        <v>-74.09999999999999</v>
      </c>
    </row>
    <row r="50" ht="20" customHeight="1">
      <c r="A50" s="13" t="n">
        <v>20</v>
      </c>
      <c r="B50" s="21" t="n">
        <v>2026000457</v>
      </c>
      <c r="C50" s="13" t="n">
        <v>126592</v>
      </c>
      <c r="D50" s="5" t="inlineStr">
        <is>
          <t>ΜΟΥΛΑΚΑΚΗΣ ΓΡΗΓΟΡΙΟΣ (FTTB IKE)</t>
        </is>
      </c>
      <c r="E50" s="5" t="inlineStr">
        <is>
          <t>Ασφάλιση Ζωής &amp; Ατυχήματος (Standard Life)</t>
        </is>
      </c>
      <c r="F50" s="13" t="inlineStr">
        <is>
          <t>800769452</t>
        </is>
      </c>
      <c r="G50" s="13" t="inlineStr">
        <is>
          <t>6948487836</t>
        </is>
      </c>
      <c r="H50" s="6" t="inlineStr">
        <is>
          <t>GMULAKAKIS@GMAIL.COM</t>
        </is>
      </c>
      <c r="I50" s="13" t="n">
        <v>130318</v>
      </c>
      <c r="J50" s="5" t="inlineStr">
        <is>
          <t>ΘΑΝΑΤΟΣ &amp; ΜΟΝΙΜΗ ΑΝΙΚ. ΟΛΙΚΗ Η ΜΕΡΙΚΗ ΑΠΌ ΑΤΥΧΗΜΑ</t>
        </is>
      </c>
      <c r="K50" s="39" t="n">
        <v>100000</v>
      </c>
      <c r="L50" s="39" t="n">
        <v>0</v>
      </c>
      <c r="M50" s="34" t="n">
        <v>234</v>
      </c>
      <c r="N50" s="34" t="n">
        <v>70.2</v>
      </c>
      <c r="O50" s="14" t="n">
        <v>0.3</v>
      </c>
      <c r="P50" s="34" t="n">
        <v>14.04</v>
      </c>
      <c r="Q50" s="14" t="n">
        <v>0.2</v>
      </c>
      <c r="R50" s="34" t="n">
        <v>84.23999999999999</v>
      </c>
    </row>
    <row r="51" ht="20" customHeight="1">
      <c r="A51" s="11" t="n">
        <v>21</v>
      </c>
      <c r="B51" s="20" t="n">
        <v>2026000161</v>
      </c>
      <c r="C51" s="11" t="n">
        <v>80415871</v>
      </c>
      <c r="D51" s="7" t="inlineStr">
        <is>
          <t>ΤΕΖΚΟΣΑΡ ΑΓΛΑΙΑ</t>
        </is>
      </c>
      <c r="E51" s="7" t="inlineStr">
        <is>
          <t>ERGO Health Care Simple (€500) + Affidea</t>
        </is>
      </c>
      <c r="F51" s="11" t="inlineStr">
        <is>
          <t>141624244</t>
        </is>
      </c>
      <c r="G51" s="11" t="inlineStr">
        <is>
          <t>6970030570</t>
        </is>
      </c>
      <c r="H51" s="8" t="inlineStr">
        <is>
          <t>hrisafaki@gmail.com</t>
        </is>
      </c>
      <c r="I51" s="11" t="n">
        <v>20121</v>
      </c>
      <c r="J51" s="7" t="inlineStr">
        <is>
          <t>Πρωτοβάθμια Περίθαλψη Υγείας 1</t>
        </is>
      </c>
      <c r="K51" s="40" t="n">
        <v>0</v>
      </c>
      <c r="L51" s="40" t="n">
        <v>0</v>
      </c>
      <c r="M51" s="23" t="n">
        <v>14.55</v>
      </c>
      <c r="N51" s="23" t="n">
        <v>7.28</v>
      </c>
      <c r="O51" s="12" t="n">
        <v>0.5003436426116838</v>
      </c>
      <c r="P51" s="23" t="n">
        <v>1.46</v>
      </c>
      <c r="Q51" s="12" t="n">
        <v>0.2</v>
      </c>
      <c r="R51" s="23" t="n">
        <v>8.74</v>
      </c>
    </row>
    <row r="52" ht="20" customHeight="1">
      <c r="A52" s="13" t="n">
        <v>22</v>
      </c>
      <c r="B52" s="21" t="n">
        <v>296632</v>
      </c>
      <c r="C52" s="13" t="n">
        <v>80424650</v>
      </c>
      <c r="D52" s="5" t="inlineStr">
        <is>
          <t>ΚΟΝΤΟΣ ΚΩΝΣΤΑΝΤΙΝΟΣ</t>
        </is>
      </c>
      <c r="E52" s="5" t="inlineStr">
        <is>
          <t>Κλασικό Πρόγραμμα Ζωής &amp; Νοσοκομειακό</t>
        </is>
      </c>
      <c r="F52" s="13" t="inlineStr">
        <is>
          <t>124778260</t>
        </is>
      </c>
      <c r="G52" s="13" t="inlineStr">
        <is>
          <t>6977046967</t>
        </is>
      </c>
      <c r="H52" s="6" t="inlineStr">
        <is>
          <t>-</t>
        </is>
      </c>
      <c r="I52" s="13" t="n">
        <v>191901</v>
      </c>
      <c r="J52" s="5" t="inlineStr">
        <is>
          <t>ΠΑΡΟΧΗ ΧΕΙΡΟΥΡΓ. ΗΜ.</t>
        </is>
      </c>
      <c r="K52" s="39" t="n">
        <v>2347.76</v>
      </c>
      <c r="L52" s="39" t="n">
        <v>0</v>
      </c>
      <c r="M52" s="34" t="n">
        <v>27.83</v>
      </c>
      <c r="N52" s="34" t="n">
        <v>0</v>
      </c>
      <c r="O52" s="14" t="n">
        <v>0</v>
      </c>
      <c r="P52" s="34" t="n">
        <v>0</v>
      </c>
      <c r="Q52" s="14" t="n">
        <v>0</v>
      </c>
      <c r="R52" s="34" t="n">
        <v>0</v>
      </c>
    </row>
    <row r="53" ht="20" customHeight="1">
      <c r="A53" s="11" t="n">
        <v>23</v>
      </c>
      <c r="B53" s="20" t="n">
        <v>296632</v>
      </c>
      <c r="C53" s="11" t="n">
        <v>80424650</v>
      </c>
      <c r="D53" s="7" t="inlineStr">
        <is>
          <t>ΚΟΝΤΟΣ ΚΩΝΣΤΑΝΤΙΝΟΣ</t>
        </is>
      </c>
      <c r="E53" s="7" t="inlineStr">
        <is>
          <t>Κλασικό Πρόγραμμα Ζωής &amp; Νοσοκομειακό</t>
        </is>
      </c>
      <c r="F53" s="11" t="inlineStr">
        <is>
          <t>124778260</t>
        </is>
      </c>
      <c r="G53" s="11" t="inlineStr">
        <is>
          <t>6977046967</t>
        </is>
      </c>
      <c r="H53" s="8" t="inlineStr">
        <is>
          <t>-</t>
        </is>
      </c>
      <c r="I53" s="11" t="n">
        <v>86802</v>
      </c>
      <c r="J53" s="7" t="inlineStr">
        <is>
          <t>ΜΕ ΕΚΠΙΠΤ. ΠΟΣΟ</t>
        </is>
      </c>
      <c r="K53" s="40" t="n">
        <v>293470.29</v>
      </c>
      <c r="L53" s="40" t="n">
        <v>2500</v>
      </c>
      <c r="M53" s="23" t="n">
        <v>190.12</v>
      </c>
      <c r="N53" s="23" t="n">
        <v>0</v>
      </c>
      <c r="O53" s="12" t="n">
        <v>0</v>
      </c>
      <c r="P53" s="23" t="n">
        <v>0</v>
      </c>
      <c r="Q53" s="12" t="n">
        <v>0</v>
      </c>
      <c r="R53" s="23" t="n">
        <v>0</v>
      </c>
    </row>
    <row r="54" ht="20" customHeight="1">
      <c r="A54" s="13" t="n">
        <v>24</v>
      </c>
      <c r="B54" s="21" t="n">
        <v>296632</v>
      </c>
      <c r="C54" s="13" t="n">
        <v>80424650</v>
      </c>
      <c r="D54" s="5" t="inlineStr">
        <is>
          <t>ΚΟΝΤΟΣ ΚΩΝΣΤΑΝΤΙΝΟΣ</t>
        </is>
      </c>
      <c r="E54" s="5" t="inlineStr">
        <is>
          <t>Κλασικό Πρόγραμμα Ζωής &amp; Νοσοκομειακό</t>
        </is>
      </c>
      <c r="F54" s="13" t="inlineStr">
        <is>
          <t>124778260</t>
        </is>
      </c>
      <c r="G54" s="13" t="inlineStr">
        <is>
          <t>6977046967</t>
        </is>
      </c>
      <c r="H54" s="6" t="inlineStr">
        <is>
          <t>-</t>
        </is>
      </c>
      <c r="I54" s="13" t="n">
        <v>30301</v>
      </c>
      <c r="J54" s="5" t="inlineStr">
        <is>
          <t>MONH</t>
        </is>
      </c>
      <c r="K54" s="39" t="n">
        <v>0</v>
      </c>
      <c r="L54" s="39" t="n">
        <v>0</v>
      </c>
      <c r="M54" s="34" t="n">
        <v>4.42</v>
      </c>
      <c r="N54" s="34" t="n">
        <v>0</v>
      </c>
      <c r="O54" s="14" t="n">
        <v>0</v>
      </c>
      <c r="P54" s="34" t="n">
        <v>0</v>
      </c>
      <c r="Q54" s="14" t="n">
        <v>0</v>
      </c>
      <c r="R54" s="34" t="n">
        <v>0</v>
      </c>
    </row>
    <row r="55" ht="20" customHeight="1">
      <c r="A55" s="11" t="n">
        <v>25</v>
      </c>
      <c r="B55" s="20" t="n">
        <v>296632</v>
      </c>
      <c r="C55" s="11" t="n">
        <v>80424650</v>
      </c>
      <c r="D55" s="7" t="inlineStr">
        <is>
          <t>ΚΟΝΤΟΣ ΚΩΝΣΤΑΝΤΙΝΟΣ</t>
        </is>
      </c>
      <c r="E55" s="7" t="inlineStr">
        <is>
          <t>Κλασικό Πρόγραμμα Ζωής &amp; Νοσοκομειακό</t>
        </is>
      </c>
      <c r="F55" s="11" t="inlineStr">
        <is>
          <t>124778260</t>
        </is>
      </c>
      <c r="G55" s="11" t="inlineStr">
        <is>
          <t>6977046967</t>
        </is>
      </c>
      <c r="H55" s="8" t="inlineStr">
        <is>
          <t>-</t>
        </is>
      </c>
      <c r="I55" s="11" t="n">
        <v>10101</v>
      </c>
      <c r="J55" s="7" t="inlineStr">
        <is>
          <t>ΘΑΝΑΤΟΥ ΙΣΟΒΙΑ</t>
        </is>
      </c>
      <c r="K55" s="40" t="n">
        <v>5869.41</v>
      </c>
      <c r="L55" s="40" t="n">
        <v>0</v>
      </c>
      <c r="M55" s="23" t="n">
        <v>16.57</v>
      </c>
      <c r="N55" s="23" t="n">
        <v>0</v>
      </c>
      <c r="O55" s="12" t="n">
        <v>0</v>
      </c>
      <c r="P55" s="23" t="n">
        <v>0</v>
      </c>
      <c r="Q55" s="12" t="n">
        <v>0</v>
      </c>
      <c r="R55" s="23" t="n">
        <v>0</v>
      </c>
    </row>
    <row r="56" ht="20" customHeight="1">
      <c r="A56" s="13" t="n">
        <v>26</v>
      </c>
      <c r="B56" s="21" t="n">
        <v>2025001015</v>
      </c>
      <c r="C56" s="13" t="n">
        <v>80425144</v>
      </c>
      <c r="D56" s="5" t="inlineStr">
        <is>
          <t>ΚΟΥΚΛΑΡΗ ΖΩΗ ΓΕΩΡΓΙΑ</t>
        </is>
      </c>
      <c r="E56" s="5" t="inlineStr">
        <is>
          <t>ERGO Health Care Advanced (€500)</t>
        </is>
      </c>
      <c r="F56" s="13" t="inlineStr">
        <is>
          <t>172315352</t>
        </is>
      </c>
      <c r="G56" s="13" t="inlineStr">
        <is>
          <t>6988005415</t>
        </is>
      </c>
      <c r="H56" s="6" t="inlineStr">
        <is>
          <t>GIO_26310@HOTMAIL.COM</t>
        </is>
      </c>
      <c r="I56" s="13" t="n">
        <v>112118</v>
      </c>
      <c r="J56" s="5" t="inlineStr">
        <is>
          <t>ERGO HEALTH CARE ADVANCED</t>
        </is>
      </c>
      <c r="K56" s="39" t="n">
        <v>0</v>
      </c>
      <c r="L56" s="39" t="n">
        <v>0</v>
      </c>
      <c r="M56" s="34" t="n">
        <v>0</v>
      </c>
      <c r="N56" s="34" t="n">
        <v>0</v>
      </c>
      <c r="O56" s="14" t="n">
        <v>0</v>
      </c>
      <c r="P56" s="34" t="n">
        <v>0</v>
      </c>
      <c r="Q56" s="14" t="n">
        <v>0</v>
      </c>
      <c r="R56" s="34" t="n">
        <v>0</v>
      </c>
    </row>
    <row r="57" ht="20" customHeight="1">
      <c r="A57" s="11" t="n">
        <v>27</v>
      </c>
      <c r="B57" s="20" t="n">
        <v>2025001015</v>
      </c>
      <c r="C57" s="11" t="n">
        <v>80425144</v>
      </c>
      <c r="D57" s="7" t="inlineStr">
        <is>
          <t>ΚΟΥΚΛΑΡΗ ΖΩΗ ΓΕΩΡΓΙΑ</t>
        </is>
      </c>
      <c r="E57" s="7" t="inlineStr">
        <is>
          <t>ERGO Health Care Advanced (€500)</t>
        </is>
      </c>
      <c r="F57" s="11" t="inlineStr">
        <is>
          <t>172315352</t>
        </is>
      </c>
      <c r="G57" s="11" t="inlineStr">
        <is>
          <t>6988005415</t>
        </is>
      </c>
      <c r="H57" s="8" t="inlineStr">
        <is>
          <t>GIO_26310@HOTMAIL.COM</t>
        </is>
      </c>
      <c r="I57" s="11" t="n">
        <v>20718</v>
      </c>
      <c r="J57" s="7" t="inlineStr">
        <is>
          <t>ERGO HEALTH CARE ADVANCED ΑΠΑΛΛΑΓΗ 500</t>
        </is>
      </c>
      <c r="K57" s="40" t="n">
        <v>300000</v>
      </c>
      <c r="L57" s="40" t="n">
        <v>500</v>
      </c>
      <c r="M57" s="23" t="n">
        <v>671.05</v>
      </c>
      <c r="N57" s="23" t="n">
        <v>167.76</v>
      </c>
      <c r="O57" s="12" t="n">
        <v>0.2499962744951941</v>
      </c>
      <c r="P57" s="23" t="n">
        <v>33.55</v>
      </c>
      <c r="Q57" s="12" t="n">
        <v>0.2</v>
      </c>
      <c r="R57" s="23" t="n">
        <v>201.31</v>
      </c>
    </row>
    <row r="58" ht="24" customHeight="1">
      <c r="A58" s="62" t="inlineStr">
        <is>
          <t>ΣΥΝΟΛΑ ΚΑΛΥΨΕΩΝ (UATOP615):</t>
        </is>
      </c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64">
        <f>SUM(K31:K57)</f>
        <v/>
      </c>
      <c r="L58" s="64">
        <f>SUM(L31:L57)</f>
        <v/>
      </c>
      <c r="M58" s="64">
        <f>SUM(M31:M57)</f>
        <v/>
      </c>
      <c r="N58" s="64">
        <f>SUM(N31:N57)</f>
        <v/>
      </c>
      <c r="O58" s="65">
        <f>ROUND(N58/M58, 4)</f>
        <v/>
      </c>
      <c r="P58" s="64">
        <f>SUM(P31:P57)</f>
        <v/>
      </c>
      <c r="Q58" s="65">
        <f>ROUND(P58/N58, 4)</f>
        <v/>
      </c>
      <c r="R58" s="64">
        <f>SUM(R31:R57)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17" customWidth="1" min="4" max="4"/>
    <col width="16" customWidth="1" min="5" max="5"/>
    <col width="18" customWidth="1" min="6" max="6"/>
    <col width="27" customWidth="1" min="7" max="7"/>
    <col width="19" customWidth="1" min="8" max="8"/>
    <col width="20" customWidth="1" min="9" max="9"/>
    <col width="34" customWidth="1" min="10" max="10"/>
    <col width="45" customWidth="1" min="11" max="11"/>
    <col width="13" customWidth="1" min="12" max="12"/>
    <col width="13" customWidth="1" min="13" max="13"/>
    <col width="42" customWidth="1" min="14" max="14"/>
    <col width="18" customWidth="1" min="15" max="15"/>
    <col width="13" customWidth="1" min="16" max="16"/>
    <col width="12" customWidth="1" min="17" max="17"/>
    <col width="23" customWidth="1" min="18" max="18"/>
    <col width="22" customWidth="1" min="19" max="19"/>
    <col width="24" customWidth="1" min="20" max="20"/>
    <col width="22" customWidth="1" min="21" max="21"/>
    <col width="23" customWidth="1" min="22" max="22"/>
    <col width="23" customWidth="1" min="23" max="23"/>
    <col width="36" customWidth="1" min="24" max="24"/>
    <col width="27" customWidth="1" min="25" max="25"/>
    <col width="49" customWidth="1" min="26" max="26"/>
  </cols>
  <sheetData>
    <row r="1">
      <c r="A1" s="1" t="inlineStr">
        <is>
          <t>ΕΚΚΑΘΑΡΙΣΗ ΥΠΕΡΠΡΟΜΗΘΕΙΩΝ AGENCY (ΓΡΑΦΕΙΟ 1411 - LANCA Ε.Ε.)</t>
        </is>
      </c>
    </row>
    <row r="2">
      <c r="A2" s="2" t="inlineStr">
        <is>
          <t>Αναλυτική Λίστα Όλων των Εγγραφών με Βαθμίδα AGENCY (Υπερπρομήθειες Δικτύου Γραφείου) ανά Ημερομηνία Έναρξης / Έκδοσης με Πακέτο &amp; Στοιχεία Πελάτη</t>
        </is>
      </c>
    </row>
    <row r="3">
      <c r="A3" s="76" t="inlineStr">
        <is>
          <t>► ΕΠΙΣΗΜΗ ΚΑΤΗΓΟΡΙΑ AGENCY: ΚΛΙΜΑΚΑ Γ (Ανώτατη Βαθμίδα Συντονιστή Β' / Agency ERGO - Υπερπρομήθεια Δικτύου 20,00% επί των Προμηθειών)</t>
        </is>
      </c>
    </row>
    <row r="4"/>
    <row r="5" ht="28" customHeight="1">
      <c r="A5" s="77" t="inlineStr">
        <is>
          <t>Α/Α</t>
        </is>
      </c>
      <c r="B5" s="77" t="inlineStr">
        <is>
          <t>Ημερομηνία Έναρξης</t>
        </is>
      </c>
      <c r="C5" s="77" t="inlineStr">
        <is>
          <t>Μήνας Εκκαθάρισης</t>
        </is>
      </c>
      <c r="D5" s="77" t="inlineStr">
        <is>
          <t>Αρ. Συμβολαίου</t>
        </is>
      </c>
      <c r="E5" s="77" t="inlineStr">
        <is>
          <t>Αρ. Απόδειξης</t>
        </is>
      </c>
      <c r="F5" s="77" t="inlineStr">
        <is>
          <t>Βαθμίδα / Ρόλος</t>
        </is>
      </c>
      <c r="G5" s="77" t="inlineStr">
        <is>
          <t>Κατηγορία / Κλίμακα ERGO</t>
        </is>
      </c>
      <c r="H5" s="77" t="inlineStr">
        <is>
          <t>Κωδικός Γραφείου</t>
        </is>
      </c>
      <c r="I5" s="77" t="inlineStr">
        <is>
          <t>Επωνυμία Γραφείου</t>
        </is>
      </c>
      <c r="J5" s="77" t="inlineStr">
        <is>
          <t>Ονοματεπώνυμο Πελάτη / Επωνυμία</t>
        </is>
      </c>
      <c r="K5" s="77" t="inlineStr">
        <is>
          <t>Πακέτο / Πρόγραμμα Ασφάλισης</t>
        </is>
      </c>
      <c r="L5" s="77" t="inlineStr">
        <is>
          <t>ΑΦΜ Πελάτη</t>
        </is>
      </c>
      <c r="M5" s="77" t="inlineStr">
        <is>
          <t>Τηλέφωνο</t>
        </is>
      </c>
      <c r="N5" s="77" t="inlineStr">
        <is>
          <t>Διεύθυνση &amp; Πόλη</t>
        </is>
      </c>
      <c r="O5" s="77" t="inlineStr">
        <is>
          <t>Τρόπος Πληρωμής</t>
        </is>
      </c>
      <c r="P5" s="77" t="inlineStr">
        <is>
          <t>Διαν. Έτος</t>
        </is>
      </c>
      <c r="Q5" s="77" t="inlineStr">
        <is>
          <t>Διάρκεια</t>
        </is>
      </c>
      <c r="R5" s="77" t="inlineStr">
        <is>
          <t>Μικτά Ασφάλιστρα (€)</t>
        </is>
      </c>
      <c r="S5" s="77" t="inlineStr">
        <is>
          <t>Καθαρά ΒΚ - Ζωή (€)</t>
        </is>
      </c>
      <c r="T5" s="77" t="inlineStr">
        <is>
          <t>Καθαρά ΣΚ - Υγεία (€)</t>
        </is>
      </c>
      <c r="U5" s="77" t="inlineStr">
        <is>
          <t>Συνολικά Καθαρά (€)</t>
        </is>
      </c>
      <c r="V5" s="77" t="inlineStr">
        <is>
          <t>Υπερπρομήθεια ΒΚ (€)</t>
        </is>
      </c>
      <c r="W5" s="77" t="inlineStr">
        <is>
          <t>Υπερπρομήθεια ΣΚ (€)</t>
        </is>
      </c>
      <c r="X5" s="77" t="inlineStr">
        <is>
          <t>Συνολική Υπερπρομήθεια Agency (€)</t>
        </is>
      </c>
      <c r="Y5" s="77" t="inlineStr">
        <is>
          <t>Ποσοστό Υπερπρομήθειας %</t>
        </is>
      </c>
      <c r="Z5" s="77" t="inlineStr">
        <is>
          <t>Είδος Κίνησης &amp; Σημείωση Συμψηφισμού</t>
        </is>
      </c>
    </row>
    <row r="6" ht="20" customHeight="1">
      <c r="A6" s="13" t="n">
        <v>1</v>
      </c>
      <c r="B6" s="13" t="inlineStr">
        <is>
          <t>27/1/2026</t>
        </is>
      </c>
      <c r="C6" s="13" t="inlineStr">
        <is>
          <t>03/2026</t>
        </is>
      </c>
      <c r="D6" s="21" t="n">
        <v>2026000161</v>
      </c>
      <c r="E6" s="13" t="n">
        <v>126288</v>
      </c>
      <c r="F6" s="13" t="inlineStr">
        <is>
          <t>AGENCY</t>
        </is>
      </c>
      <c r="G6" s="21" t="inlineStr">
        <is>
          <t>Κλίμακα Γ (Agency 20%)</t>
        </is>
      </c>
      <c r="H6" s="13" t="inlineStr">
        <is>
          <t>1411</t>
        </is>
      </c>
      <c r="I6" s="6" t="inlineStr">
        <is>
          <t>LANCA Ι.Κ.Ε.</t>
        </is>
      </c>
      <c r="J6" s="5" t="inlineStr">
        <is>
          <t>ΤΕΖΚΟΣΑΡ ΑΓΛΑΙΑ</t>
        </is>
      </c>
      <c r="K6" s="5" t="inlineStr">
        <is>
          <t>ERGO Health Care Simple (€500) + Affidea</t>
        </is>
      </c>
      <c r="L6" s="13" t="inlineStr">
        <is>
          <t>141624244</t>
        </is>
      </c>
      <c r="M6" s="13" t="inlineStr">
        <is>
          <t>6970030570</t>
        </is>
      </c>
      <c r="N6" s="6" t="inlineStr">
        <is>
          <t>Αφροδίτης 47-49, Παλαιό Φάληρο ΤΚ 17561</t>
        </is>
      </c>
      <c r="O6" s="13" t="inlineStr">
        <is>
          <t>Τριμηνιαία</t>
        </is>
      </c>
      <c r="P6" s="13" t="n">
        <v>1</v>
      </c>
      <c r="Q6" s="13" t="n">
        <v>1</v>
      </c>
      <c r="R6" s="34" t="n">
        <v>475.5</v>
      </c>
      <c r="S6" s="39" t="n">
        <v>0</v>
      </c>
      <c r="T6" s="39" t="n">
        <v>414.55</v>
      </c>
      <c r="U6" s="34" t="n">
        <v>414.55</v>
      </c>
      <c r="V6" s="39" t="n">
        <v>0</v>
      </c>
      <c r="W6" s="39" t="n">
        <v>23.24</v>
      </c>
      <c r="X6" s="34" t="n">
        <v>23.24</v>
      </c>
      <c r="Y6" s="14" t="n">
        <v>0.05606078880714026</v>
      </c>
      <c r="Z6" s="5" t="inlineStr">
        <is>
          <t>Υπερπρομήθεια Νέας Παραγωγής (1ο Έτος)</t>
        </is>
      </c>
    </row>
    <row r="7" ht="20" customHeight="1">
      <c r="A7" s="11" t="n">
        <v>2</v>
      </c>
      <c r="B7" s="11" t="inlineStr">
        <is>
          <t>29/1/2026</t>
        </is>
      </c>
      <c r="C7" s="11" t="inlineStr">
        <is>
          <t>02/2026</t>
        </is>
      </c>
      <c r="D7" s="20" t="n">
        <v>2026000182</v>
      </c>
      <c r="E7" s="11" t="n">
        <v>126309</v>
      </c>
      <c r="F7" s="11" t="inlineStr">
        <is>
          <t>AGENCY</t>
        </is>
      </c>
      <c r="G7" s="20" t="inlineStr">
        <is>
          <t>Κλίμακα Γ (Agency 20%)</t>
        </is>
      </c>
      <c r="H7" s="11" t="inlineStr">
        <is>
          <t>1411</t>
        </is>
      </c>
      <c r="I7" s="8" t="inlineStr">
        <is>
          <t>LANCA Ι.Κ.Ε.</t>
        </is>
      </c>
      <c r="J7" s="7" t="inlineStr">
        <is>
          <t>ΠΑΠΑΔΑΚΗΣ ΦΑΙΔΩΝ</t>
        </is>
      </c>
      <c r="K7" s="7" t="inlineStr">
        <is>
          <t>Ασφάλιση Ζωής &amp; Υγείας</t>
        </is>
      </c>
      <c r="L7" s="11" t="inlineStr">
        <is>
          <t>-</t>
        </is>
      </c>
      <c r="M7" s="11" t="inlineStr">
        <is>
          <t>-</t>
        </is>
      </c>
      <c r="N7" s="8" t="inlineStr">
        <is>
          <t>-</t>
        </is>
      </c>
      <c r="O7" s="11" t="inlineStr">
        <is>
          <t>Ετήσια</t>
        </is>
      </c>
      <c r="P7" s="11" t="n">
        <v>1</v>
      </c>
      <c r="Q7" s="11" t="n">
        <v>1</v>
      </c>
      <c r="R7" s="23" t="n">
        <v>896.3</v>
      </c>
      <c r="S7" s="40" t="n">
        <v>0</v>
      </c>
      <c r="T7" s="40" t="n">
        <v>896.3</v>
      </c>
      <c r="U7" s="23" t="n">
        <v>896.3</v>
      </c>
      <c r="V7" s="40" t="n">
        <v>0</v>
      </c>
      <c r="W7" s="40" t="n">
        <v>51.99</v>
      </c>
      <c r="X7" s="23" t="n">
        <v>51.99</v>
      </c>
      <c r="Y7" s="12" t="n">
        <v>0.05800513221019749</v>
      </c>
      <c r="Z7" s="7" t="inlineStr">
        <is>
          <t>Υπερπρομήθεια Νέας Παραγωγής (1ο Έτος)</t>
        </is>
      </c>
    </row>
    <row r="8" ht="20" customHeight="1">
      <c r="A8" s="41" t="n">
        <v>3</v>
      </c>
      <c r="B8" s="42" t="inlineStr">
        <is>
          <t>2/2/2026</t>
        </is>
      </c>
      <c r="C8" s="41" t="inlineStr">
        <is>
          <t>04/2026</t>
        </is>
      </c>
      <c r="D8" s="43" t="n">
        <v>2026000210</v>
      </c>
      <c r="E8" s="41" t="n">
        <v>126337</v>
      </c>
      <c r="F8" s="42" t="inlineStr">
        <is>
          <t>AGENCY</t>
        </is>
      </c>
      <c r="G8" s="43" t="inlineStr">
        <is>
          <t>Κλίμακα Γ (Agency 20%)</t>
        </is>
      </c>
      <c r="H8" s="41" t="inlineStr">
        <is>
          <t>1411</t>
        </is>
      </c>
      <c r="I8" s="45" t="inlineStr">
        <is>
          <t>LANCA Ι.Κ.Ε.</t>
        </is>
      </c>
      <c r="J8" s="44" t="inlineStr">
        <is>
          <t>ΜΟΥΛΑΚΑΚΗΣ ΓΡΗΓΟΡΙΟΣ (FTTB IKE)</t>
        </is>
      </c>
      <c r="K8" s="44" t="inlineStr">
        <is>
          <t>Ασφάλιση Ζωής &amp; Ατυχήματος (Standard Life)</t>
        </is>
      </c>
      <c r="L8" s="41" t="inlineStr">
        <is>
          <t>800769452</t>
        </is>
      </c>
      <c r="M8" s="41" t="inlineStr">
        <is>
          <t>6948487836</t>
        </is>
      </c>
      <c r="N8" s="45" t="inlineStr">
        <is>
          <t>Πολυτεχνείου 3, Γάζι ΤΚ 71414</t>
        </is>
      </c>
      <c r="O8" s="41" t="inlineStr">
        <is>
          <t>Ετήσια</t>
        </is>
      </c>
      <c r="P8" s="41" t="n">
        <v>1</v>
      </c>
      <c r="Q8" s="41" t="n">
        <v>20</v>
      </c>
      <c r="R8" s="46" t="n">
        <v>-1029.77</v>
      </c>
      <c r="S8" s="47" t="n">
        <v>-390.36</v>
      </c>
      <c r="T8" s="47" t="n">
        <v>-639.41</v>
      </c>
      <c r="U8" s="46" t="n">
        <v>-1029.77</v>
      </c>
      <c r="V8" s="47" t="n">
        <v>-9.76</v>
      </c>
      <c r="W8" s="47" t="n">
        <v>-18.76</v>
      </c>
      <c r="X8" s="46" t="n">
        <v>-28.52</v>
      </c>
      <c r="Y8" s="48" t="n">
        <v>0.02769550482146499</v>
      </c>
      <c r="Z8" s="49" t="inlineStr">
        <is>
          <t>Αντιλογισμός &amp; Επανέκδοση (Συμψηφισμός 0,00 €)</t>
        </is>
      </c>
    </row>
    <row r="9" ht="20" customHeight="1">
      <c r="A9" s="41" t="n">
        <v>4</v>
      </c>
      <c r="B9" s="41" t="inlineStr">
        <is>
          <t>2/2/2026</t>
        </is>
      </c>
      <c r="C9" s="41" t="inlineStr">
        <is>
          <t>04/2026</t>
        </is>
      </c>
      <c r="D9" s="43" t="n">
        <v>2026000210</v>
      </c>
      <c r="E9" s="41" t="n">
        <v>126337</v>
      </c>
      <c r="F9" s="41" t="inlineStr">
        <is>
          <t>AGENCY</t>
        </is>
      </c>
      <c r="G9" s="43" t="inlineStr">
        <is>
          <t>Κλίμακα Γ (Agency 20%)</t>
        </is>
      </c>
      <c r="H9" s="41" t="inlineStr">
        <is>
          <t>1411</t>
        </is>
      </c>
      <c r="I9" s="45" t="inlineStr">
        <is>
          <t>LANCA Ι.Κ.Ε.</t>
        </is>
      </c>
      <c r="J9" s="44" t="inlineStr">
        <is>
          <t>ΜΟΥΛΑΚΑΚΗΣ ΓΡΗΓΟΡΙΟΣ (FTTB IKE)</t>
        </is>
      </c>
      <c r="K9" s="44" t="inlineStr">
        <is>
          <t>Ασφάλιση Ζωής &amp; Ατυχήματος (Standard Life)</t>
        </is>
      </c>
      <c r="L9" s="41" t="inlineStr">
        <is>
          <t>800769452</t>
        </is>
      </c>
      <c r="M9" s="41" t="inlineStr">
        <is>
          <t>6948487836</t>
        </is>
      </c>
      <c r="N9" s="45" t="inlineStr">
        <is>
          <t>Πολυτεχνείου 3, Γάζι ΤΚ 71414</t>
        </is>
      </c>
      <c r="O9" s="41" t="inlineStr">
        <is>
          <t>Ετήσια</t>
        </is>
      </c>
      <c r="P9" s="41" t="n">
        <v>1</v>
      </c>
      <c r="Q9" s="41" t="n">
        <v>20</v>
      </c>
      <c r="R9" s="46" t="n">
        <v>1029.77</v>
      </c>
      <c r="S9" s="47" t="n">
        <v>390.36</v>
      </c>
      <c r="T9" s="47" t="n">
        <v>639.41</v>
      </c>
      <c r="U9" s="46" t="n">
        <v>1029.77</v>
      </c>
      <c r="V9" s="47" t="n">
        <v>9.76</v>
      </c>
      <c r="W9" s="47" t="n">
        <v>18.76</v>
      </c>
      <c r="X9" s="46" t="n">
        <v>28.52</v>
      </c>
      <c r="Y9" s="48" t="n">
        <v>0.02769550482146499</v>
      </c>
      <c r="Z9" s="49" t="inlineStr">
        <is>
          <t>Αντιλογισμός &amp; Επανέκδοση (Συμψηφισμός 0,00 €)</t>
        </is>
      </c>
    </row>
    <row r="10" ht="20" customHeight="1">
      <c r="A10" s="41" t="n">
        <v>5</v>
      </c>
      <c r="B10" s="41" t="inlineStr">
        <is>
          <t>14/2/2026</t>
        </is>
      </c>
      <c r="C10" s="41" t="inlineStr">
        <is>
          <t>03/2026</t>
        </is>
      </c>
      <c r="D10" s="43" t="n">
        <v>2025000256</v>
      </c>
      <c r="E10" s="41" t="n">
        <v>80404824</v>
      </c>
      <c r="F10" s="41" t="inlineStr">
        <is>
          <t>AGENCY</t>
        </is>
      </c>
      <c r="G10" s="43" t="inlineStr">
        <is>
          <t>Κλίμακα Γ (Agency 20%)</t>
        </is>
      </c>
      <c r="H10" s="41" t="inlineStr">
        <is>
          <t>1411</t>
        </is>
      </c>
      <c r="I10" s="45" t="inlineStr">
        <is>
          <t>LANCA Ι.Κ.Ε.</t>
        </is>
      </c>
      <c r="J10" s="44" t="inlineStr">
        <is>
          <t>ΒΑΒΑΤΣΙΚΟΣ ΔΗΜΗΤΡΙΟΣ</t>
        </is>
      </c>
      <c r="K10" s="44" t="inlineStr">
        <is>
          <t>ERGO Health Care Advanced (€500)</t>
        </is>
      </c>
      <c r="L10" s="41" t="inlineStr">
        <is>
          <t>160251127</t>
        </is>
      </c>
      <c r="M10" s="41" t="inlineStr">
        <is>
          <t>6985987796</t>
        </is>
      </c>
      <c r="N10" s="45" t="inlineStr">
        <is>
          <t>Καρπάθου 11, Πειραιάς ΤΚ 18539</t>
        </is>
      </c>
      <c r="O10" s="41" t="inlineStr">
        <is>
          <t>Ετήσια</t>
        </is>
      </c>
      <c r="P10" s="41" t="n">
        <v>2</v>
      </c>
      <c r="Q10" s="41" t="n">
        <v>1</v>
      </c>
      <c r="R10" s="46" t="n">
        <v>1309.8</v>
      </c>
      <c r="S10" s="47" t="n">
        <v>0</v>
      </c>
      <c r="T10" s="47" t="n">
        <v>1093.95</v>
      </c>
      <c r="U10" s="46" t="n">
        <v>1093.95</v>
      </c>
      <c r="V10" s="47" t="n">
        <v>0</v>
      </c>
      <c r="W10" s="47" t="n">
        <v>53.01</v>
      </c>
      <c r="X10" s="46" t="n">
        <v>53.01</v>
      </c>
      <c r="Y10" s="48" t="n">
        <v>0.04845742492801316</v>
      </c>
      <c r="Z10" s="49" t="inlineStr">
        <is>
          <t>Αρχική Εγγραφή Συμβολαίου (Συμψηφισμός 0,00 €)</t>
        </is>
      </c>
    </row>
    <row r="11" ht="20" customHeight="1">
      <c r="A11" s="41" t="n">
        <v>6</v>
      </c>
      <c r="B11" s="42" t="inlineStr">
        <is>
          <t>14/2/2026</t>
        </is>
      </c>
      <c r="C11" s="41" t="inlineStr">
        <is>
          <t>03/2026</t>
        </is>
      </c>
      <c r="D11" s="43" t="n">
        <v>2025000256</v>
      </c>
      <c r="E11" s="41" t="n">
        <v>80404824</v>
      </c>
      <c r="F11" s="42" t="inlineStr">
        <is>
          <t>AGENCY</t>
        </is>
      </c>
      <c r="G11" s="43" t="inlineStr">
        <is>
          <t>Κλίμακα Γ (Agency 20%)</t>
        </is>
      </c>
      <c r="H11" s="41" t="inlineStr">
        <is>
          <t>1411</t>
        </is>
      </c>
      <c r="I11" s="45" t="inlineStr">
        <is>
          <t>LANCA Ι.Κ.Ε.</t>
        </is>
      </c>
      <c r="J11" s="44" t="inlineStr">
        <is>
          <t>ΒΑΒΑΤΣΙΚΟΣ ΔΗΜΗΤΡΙΟΣ</t>
        </is>
      </c>
      <c r="K11" s="44" t="inlineStr">
        <is>
          <t>ERGO Health Care Advanced (€500)</t>
        </is>
      </c>
      <c r="L11" s="41" t="inlineStr">
        <is>
          <t>160251127</t>
        </is>
      </c>
      <c r="M11" s="41" t="inlineStr">
        <is>
          <t>6985987796</t>
        </is>
      </c>
      <c r="N11" s="45" t="inlineStr">
        <is>
          <t>Καρπάθου 11, Πειραιάς ΤΚ 18539</t>
        </is>
      </c>
      <c r="O11" s="41" t="inlineStr">
        <is>
          <t>Ετήσια</t>
        </is>
      </c>
      <c r="P11" s="41" t="n">
        <v>2</v>
      </c>
      <c r="Q11" s="41" t="n">
        <v>1</v>
      </c>
      <c r="R11" s="46" t="n">
        <v>-1309.8</v>
      </c>
      <c r="S11" s="47" t="n">
        <v>0</v>
      </c>
      <c r="T11" s="47" t="n">
        <v>-1093.95</v>
      </c>
      <c r="U11" s="46" t="n">
        <v>-1093.95</v>
      </c>
      <c r="V11" s="47" t="n">
        <v>0</v>
      </c>
      <c r="W11" s="47" t="n">
        <v>-53.01</v>
      </c>
      <c r="X11" s="46" t="n">
        <v>-53.01</v>
      </c>
      <c r="Y11" s="48" t="n">
        <v>0.04845742492801316</v>
      </c>
      <c r="Z11" s="49" t="inlineStr">
        <is>
          <t>Ακύρωση &amp; Επιστροφή (Συμψηφισμός 0,00 €)</t>
        </is>
      </c>
    </row>
    <row r="12" ht="20" customHeight="1">
      <c r="A12" s="13" t="n">
        <v>7</v>
      </c>
      <c r="B12" s="13" t="inlineStr">
        <is>
          <t>24/2/2026</t>
        </is>
      </c>
      <c r="C12" s="13" t="inlineStr">
        <is>
          <t>03/2026</t>
        </is>
      </c>
      <c r="D12" s="21" t="n">
        <v>2026000457</v>
      </c>
      <c r="E12" s="13" t="n">
        <v>126592</v>
      </c>
      <c r="F12" s="13" t="inlineStr">
        <is>
          <t>AGENCY</t>
        </is>
      </c>
      <c r="G12" s="21" t="inlineStr">
        <is>
          <t>Κλίμακα Γ (Agency 20%)</t>
        </is>
      </c>
      <c r="H12" s="13" t="inlineStr">
        <is>
          <t>1411</t>
        </is>
      </c>
      <c r="I12" s="6" t="inlineStr">
        <is>
          <t>LANCA Ι.Κ.Ε.</t>
        </is>
      </c>
      <c r="J12" s="5" t="inlineStr">
        <is>
          <t>ΜΟΥΛΑΚΑΚΗΣ ΓΡΗΓΟΡΙΟΣ (FTTB IKE)</t>
        </is>
      </c>
      <c r="K12" s="5" t="inlineStr">
        <is>
          <t>Ασφάλιση Ζωής &amp; Ατυχήματος (Standard Life)</t>
        </is>
      </c>
      <c r="L12" s="13" t="inlineStr">
        <is>
          <t>800769452</t>
        </is>
      </c>
      <c r="M12" s="13" t="inlineStr">
        <is>
          <t>6948487836</t>
        </is>
      </c>
      <c r="N12" s="6" t="inlineStr">
        <is>
          <t>Πολυτεχνείου 3, Γάζι ΤΚ 71414</t>
        </is>
      </c>
      <c r="O12" s="13" t="inlineStr">
        <is>
          <t>Ετήσια</t>
        </is>
      </c>
      <c r="P12" s="13" t="n">
        <v>1</v>
      </c>
      <c r="Q12" s="13" t="n">
        <v>20</v>
      </c>
      <c r="R12" s="34" t="n">
        <v>966.6</v>
      </c>
      <c r="S12" s="39" t="n">
        <v>390.36</v>
      </c>
      <c r="T12" s="39" t="n">
        <v>483.8</v>
      </c>
      <c r="U12" s="34" t="n">
        <v>874.16</v>
      </c>
      <c r="V12" s="39" t="n">
        <v>19.52</v>
      </c>
      <c r="W12" s="39" t="n">
        <v>28.11</v>
      </c>
      <c r="X12" s="34" t="n">
        <v>47.63</v>
      </c>
      <c r="Y12" s="14" t="n">
        <v>0.0544865928434154</v>
      </c>
      <c r="Z12" s="5" t="inlineStr">
        <is>
          <t>Υπερπρομήθεια Νέας Παραγωγής (1ο Έτος)</t>
        </is>
      </c>
    </row>
    <row r="13" ht="20" customHeight="1">
      <c r="A13" s="11" t="n">
        <v>8</v>
      </c>
      <c r="B13" s="11" t="inlineStr">
        <is>
          <t>27/3/2026</t>
        </is>
      </c>
      <c r="C13" s="11" t="inlineStr">
        <is>
          <t>03/2026</t>
        </is>
      </c>
      <c r="D13" s="20" t="n">
        <v>2025001066</v>
      </c>
      <c r="E13" s="11" t="n">
        <v>80410942</v>
      </c>
      <c r="F13" s="11" t="inlineStr">
        <is>
          <t>AGENCY</t>
        </is>
      </c>
      <c r="G13" s="20" t="inlineStr">
        <is>
          <t>Κλίμακα Γ (Agency 20%)</t>
        </is>
      </c>
      <c r="H13" s="11" t="inlineStr">
        <is>
          <t>1411</t>
        </is>
      </c>
      <c r="I13" s="8" t="inlineStr">
        <is>
          <t>LANCA Ι.Κ.Ε.</t>
        </is>
      </c>
      <c r="J13" s="7" t="inlineStr">
        <is>
          <t>ΚΑΤΣΙΓΙΑΝΝΑΚΗ ΚΑΛΛΙΟΠΗ</t>
        </is>
      </c>
      <c r="K13" s="7" t="inlineStr">
        <is>
          <t>ERGO Health Care Simple</t>
        </is>
      </c>
      <c r="L13" s="11" t="inlineStr">
        <is>
          <t>-</t>
        </is>
      </c>
      <c r="M13" s="11" t="inlineStr">
        <is>
          <t>-</t>
        </is>
      </c>
      <c r="N13" s="8" t="inlineStr">
        <is>
          <t>-</t>
        </is>
      </c>
      <c r="O13" s="11" t="inlineStr">
        <is>
          <t>Τριμηνιαία</t>
        </is>
      </c>
      <c r="P13" s="11" t="n">
        <v>1</v>
      </c>
      <c r="Q13" s="11" t="n">
        <v>15</v>
      </c>
      <c r="R13" s="23" t="n">
        <v>160</v>
      </c>
      <c r="S13" s="40" t="n">
        <v>138.63</v>
      </c>
      <c r="T13" s="40" t="n">
        <v>7</v>
      </c>
      <c r="U13" s="23" t="n">
        <v>145.63</v>
      </c>
      <c r="V13" s="40" t="n">
        <v>3.37</v>
      </c>
      <c r="W13" s="40" t="n">
        <v>0.19</v>
      </c>
      <c r="X13" s="23" t="n">
        <v>3.56</v>
      </c>
      <c r="Y13" s="12" t="n">
        <v>0.02444551260042574</v>
      </c>
      <c r="Z13" s="7" t="inlineStr">
        <is>
          <t>Υπερπρομήθεια Νέας Παραγωγής (1ο Έτος)</t>
        </is>
      </c>
    </row>
    <row r="14" ht="20" customHeight="1">
      <c r="A14" s="13" t="n">
        <v>9</v>
      </c>
      <c r="B14" s="13" t="inlineStr">
        <is>
          <t>30/3/2026</t>
        </is>
      </c>
      <c r="C14" s="13" t="inlineStr">
        <is>
          <t>03/2026</t>
        </is>
      </c>
      <c r="D14" s="21" t="n">
        <v>2025001836</v>
      </c>
      <c r="E14" s="13" t="n">
        <v>80411824</v>
      </c>
      <c r="F14" s="13" t="inlineStr">
        <is>
          <t>AGENCY</t>
        </is>
      </c>
      <c r="G14" s="21" t="inlineStr">
        <is>
          <t>Κλίμακα Γ (Agency 20%)</t>
        </is>
      </c>
      <c r="H14" s="13" t="inlineStr">
        <is>
          <t>1411</t>
        </is>
      </c>
      <c r="I14" s="6" t="inlineStr">
        <is>
          <t>LANCA Ι.Κ.Ε.</t>
        </is>
      </c>
      <c r="J14" s="5" t="inlineStr">
        <is>
          <t>ΣΤΕΡΓΙΟΥ ΑΒΑΠΤΙΣΤΟ</t>
        </is>
      </c>
      <c r="K14" s="5" t="inlineStr">
        <is>
          <t>ERGO Health Care Simple</t>
        </is>
      </c>
      <c r="L14" s="13" t="inlineStr">
        <is>
          <t>-</t>
        </is>
      </c>
      <c r="M14" s="13" t="inlineStr">
        <is>
          <t>-</t>
        </is>
      </c>
      <c r="N14" s="6" t="inlineStr">
        <is>
          <t>-</t>
        </is>
      </c>
      <c r="O14" s="13" t="inlineStr">
        <is>
          <t>Τριμηνιαία</t>
        </is>
      </c>
      <c r="P14" s="13" t="n">
        <v>1</v>
      </c>
      <c r="Q14" s="13" t="n">
        <v>1</v>
      </c>
      <c r="R14" s="34" t="n">
        <v>195</v>
      </c>
      <c r="S14" s="39" t="n">
        <v>0</v>
      </c>
      <c r="T14" s="39" t="n">
        <v>174.8</v>
      </c>
      <c r="U14" s="34" t="n">
        <v>174.8</v>
      </c>
      <c r="V14" s="39" t="n">
        <v>0</v>
      </c>
      <c r="W14" s="39" t="n">
        <v>9.84</v>
      </c>
      <c r="X14" s="34" t="n">
        <v>9.84</v>
      </c>
      <c r="Y14" s="14" t="n">
        <v>0.0562929061784897</v>
      </c>
      <c r="Z14" s="5" t="inlineStr">
        <is>
          <t>Υπερπρομήθεια Νέας Παραγωγής (1ο Έτος)</t>
        </is>
      </c>
    </row>
    <row r="15" ht="20" customHeight="1">
      <c r="A15" s="11" t="n">
        <v>10</v>
      </c>
      <c r="B15" s="11" t="inlineStr">
        <is>
          <t>5/4/2026</t>
        </is>
      </c>
      <c r="C15" s="11" t="inlineStr">
        <is>
          <t>05/2026</t>
        </is>
      </c>
      <c r="D15" s="20" t="n">
        <v>2023001613</v>
      </c>
      <c r="E15" s="11" t="n">
        <v>80412743</v>
      </c>
      <c r="F15" s="11" t="inlineStr">
        <is>
          <t>AGENCY</t>
        </is>
      </c>
      <c r="G15" s="20" t="inlineStr">
        <is>
          <t>Κλίμακα Γ (Agency 20%)</t>
        </is>
      </c>
      <c r="H15" s="11" t="inlineStr">
        <is>
          <t>1411</t>
        </is>
      </c>
      <c r="I15" s="8" t="inlineStr">
        <is>
          <t>LANCA Ι.Κ.Ε.</t>
        </is>
      </c>
      <c r="J15" s="7" t="inlineStr">
        <is>
          <t>ΤΑΡΑΝΗΣ ΙΓΝΑΤΙΟΣ</t>
        </is>
      </c>
      <c r="K15" s="7" t="inlineStr">
        <is>
          <t>ERGO Health Care Advanced (€3.000)</t>
        </is>
      </c>
      <c r="L15" s="11" t="inlineStr">
        <is>
          <t>111087841</t>
        </is>
      </c>
      <c r="M15" s="11" t="inlineStr">
        <is>
          <t>6978650501</t>
        </is>
      </c>
      <c r="N15" s="8" t="inlineStr">
        <is>
          <t>Στρ. Μυριβήλη 40, Μυτιλήνη ΤΚ 81100</t>
        </is>
      </c>
      <c r="O15" s="11" t="inlineStr">
        <is>
          <t>Ετήσια</t>
        </is>
      </c>
      <c r="P15" s="11" t="n">
        <v>4</v>
      </c>
      <c r="Q15" s="11" t="n">
        <v>1</v>
      </c>
      <c r="R15" s="23" t="n">
        <v>247.37</v>
      </c>
      <c r="S15" s="40" t="n">
        <v>0</v>
      </c>
      <c r="T15" s="40" t="n">
        <v>202.37</v>
      </c>
      <c r="U15" s="23" t="n">
        <v>202.37</v>
      </c>
      <c r="V15" s="40" t="n">
        <v>0</v>
      </c>
      <c r="W15" s="40" t="n">
        <v>10.12</v>
      </c>
      <c r="X15" s="23" t="n">
        <v>10.12</v>
      </c>
      <c r="Y15" s="12" t="n">
        <v>0.05000741216583485</v>
      </c>
      <c r="Z15" s="7" t="inlineStr">
        <is>
          <t>Υπερπρομήθεια Ανανέωσης (4ο Έτος)</t>
        </is>
      </c>
    </row>
    <row r="16" ht="20" customHeight="1">
      <c r="A16" s="13" t="n">
        <v>11</v>
      </c>
      <c r="B16" s="13" t="inlineStr">
        <is>
          <t>8/4/2026</t>
        </is>
      </c>
      <c r="C16" s="13" t="inlineStr">
        <is>
          <t>04/2026</t>
        </is>
      </c>
      <c r="D16" s="21" t="n">
        <v>2026000765</v>
      </c>
      <c r="E16" s="13" t="n">
        <v>126897</v>
      </c>
      <c r="F16" s="13" t="inlineStr">
        <is>
          <t>AGENCY</t>
        </is>
      </c>
      <c r="G16" s="21" t="inlineStr">
        <is>
          <t>Κλίμακα Γ (Agency 20%)</t>
        </is>
      </c>
      <c r="H16" s="13" t="inlineStr">
        <is>
          <t>1411</t>
        </is>
      </c>
      <c r="I16" s="6" t="inlineStr">
        <is>
          <t>LANCA Ι.Κ.Ε.</t>
        </is>
      </c>
      <c r="J16" s="5" t="inlineStr">
        <is>
          <t>ΠΑΛΙΑΤΣΑΣ ΑΘΑΝΑΣΙΟΣ</t>
        </is>
      </c>
      <c r="K16" s="5" t="inlineStr">
        <is>
          <t>ERGO Health Care Superior (€1.500)</t>
        </is>
      </c>
      <c r="L16" s="13" t="inlineStr">
        <is>
          <t>135971330</t>
        </is>
      </c>
      <c r="M16" s="13" t="inlineStr">
        <is>
          <t>6947904961</t>
        </is>
      </c>
      <c r="N16" s="6" t="inlineStr">
        <is>
          <t>Αιτωλικού 98, Μεσολόγγι ΤΚ 30200</t>
        </is>
      </c>
      <c r="O16" s="13" t="inlineStr">
        <is>
          <t>Ετήσια</t>
        </is>
      </c>
      <c r="P16" s="13" t="n">
        <v>1</v>
      </c>
      <c r="Q16" s="13" t="n">
        <v>1</v>
      </c>
      <c r="R16" s="34" t="n">
        <v>817.8</v>
      </c>
      <c r="S16" s="39" t="n">
        <v>0</v>
      </c>
      <c r="T16" s="39" t="n">
        <v>666.12</v>
      </c>
      <c r="U16" s="34" t="n">
        <v>666.12</v>
      </c>
      <c r="V16" s="39" t="n">
        <v>0</v>
      </c>
      <c r="W16" s="39" t="n">
        <v>38.63</v>
      </c>
      <c r="X16" s="34" t="n">
        <v>38.63</v>
      </c>
      <c r="Y16" s="14" t="n">
        <v>0.05799255389419324</v>
      </c>
      <c r="Z16" s="5" t="inlineStr">
        <is>
          <t>Υπερπρομήθεια Νέας Παραγωγής (1ο Έτος)</t>
        </is>
      </c>
    </row>
    <row r="17" ht="20" customHeight="1">
      <c r="A17" s="11" t="n">
        <v>12</v>
      </c>
      <c r="B17" s="11" t="inlineStr">
        <is>
          <t>27/4/2026</t>
        </is>
      </c>
      <c r="C17" s="11" t="inlineStr">
        <is>
          <t>04/2026</t>
        </is>
      </c>
      <c r="D17" s="20" t="n">
        <v>2026000161</v>
      </c>
      <c r="E17" s="11" t="n">
        <v>80415871</v>
      </c>
      <c r="F17" s="11" t="inlineStr">
        <is>
          <t>AGENCY</t>
        </is>
      </c>
      <c r="G17" s="20" t="inlineStr">
        <is>
          <t>Κλίμακα Γ (Agency 20%)</t>
        </is>
      </c>
      <c r="H17" s="11" t="inlineStr">
        <is>
          <t>1411</t>
        </is>
      </c>
      <c r="I17" s="8" t="inlineStr">
        <is>
          <t>LANCA Ι.Κ.Ε.</t>
        </is>
      </c>
      <c r="J17" s="7" t="inlineStr">
        <is>
          <t>ΤΕΖΚΟΣΑΡ ΑΓΛΑΙΑ</t>
        </is>
      </c>
      <c r="K17" s="7" t="inlineStr">
        <is>
          <t>ERGO Health Care Simple (€500) + Affidea</t>
        </is>
      </c>
      <c r="L17" s="11" t="inlineStr">
        <is>
          <t>141624244</t>
        </is>
      </c>
      <c r="M17" s="11" t="inlineStr">
        <is>
          <t>6970030570</t>
        </is>
      </c>
      <c r="N17" s="8" t="inlineStr">
        <is>
          <t>Αφροδίτης 47-49, Παλαιό Φάληρο ΤΚ 17561</t>
        </is>
      </c>
      <c r="O17" s="11" t="inlineStr">
        <is>
          <t>Τριμηνιαία</t>
        </is>
      </c>
      <c r="P17" s="11" t="n">
        <v>1</v>
      </c>
      <c r="Q17" s="11" t="n">
        <v>1</v>
      </c>
      <c r="R17" s="23" t="n">
        <v>475.5</v>
      </c>
      <c r="S17" s="40" t="n">
        <v>0</v>
      </c>
      <c r="T17" s="40" t="n">
        <v>414.55</v>
      </c>
      <c r="U17" s="23" t="n">
        <v>414.55</v>
      </c>
      <c r="V17" s="40" t="n">
        <v>0</v>
      </c>
      <c r="W17" s="40" t="n">
        <v>23.24</v>
      </c>
      <c r="X17" s="23" t="n">
        <v>23.24</v>
      </c>
      <c r="Y17" s="12" t="n">
        <v>0.05606078880714026</v>
      </c>
      <c r="Z17" s="7" t="inlineStr">
        <is>
          <t>Υπερπρομήθεια Νέας Παραγωγής (1ο Έτος)</t>
        </is>
      </c>
    </row>
    <row r="18" ht="20" customHeight="1">
      <c r="A18" s="13" t="n">
        <v>13</v>
      </c>
      <c r="B18" s="13" t="inlineStr">
        <is>
          <t>27/6/2026</t>
        </is>
      </c>
      <c r="C18" s="13" t="inlineStr">
        <is>
          <t>07/2026</t>
        </is>
      </c>
      <c r="D18" s="21" t="n">
        <v>2025001066</v>
      </c>
      <c r="E18" s="13" t="n">
        <v>80425699</v>
      </c>
      <c r="F18" s="13" t="inlineStr">
        <is>
          <t>AGENCY</t>
        </is>
      </c>
      <c r="G18" s="21" t="inlineStr">
        <is>
          <t>Κλίμακα Γ (Agency 20%)</t>
        </is>
      </c>
      <c r="H18" s="13" t="inlineStr">
        <is>
          <t>1411</t>
        </is>
      </c>
      <c r="I18" s="6" t="inlineStr">
        <is>
          <t>LANCA Ι.Κ.Ε.</t>
        </is>
      </c>
      <c r="J18" s="5" t="inlineStr">
        <is>
          <t>ΚΑΤΣΙΓΙΑΝΝΑΚΗ ΚΑΛΛΙΟΠΗ</t>
        </is>
      </c>
      <c r="K18" s="5" t="inlineStr">
        <is>
          <t>ERGO Health Care Simple</t>
        </is>
      </c>
      <c r="L18" s="13" t="inlineStr">
        <is>
          <t>-</t>
        </is>
      </c>
      <c r="M18" s="13" t="inlineStr">
        <is>
          <t>-</t>
        </is>
      </c>
      <c r="N18" s="6" t="inlineStr">
        <is>
          <t>-</t>
        </is>
      </c>
      <c r="O18" s="13" t="inlineStr">
        <is>
          <t>Τριμηνιαία</t>
        </is>
      </c>
      <c r="P18" s="13" t="n">
        <v>2</v>
      </c>
      <c r="Q18" s="13" t="n">
        <v>15</v>
      </c>
      <c r="R18" s="34" t="n">
        <v>160</v>
      </c>
      <c r="S18" s="39" t="n">
        <v>138.63</v>
      </c>
      <c r="T18" s="39" t="n">
        <v>7</v>
      </c>
      <c r="U18" s="34" t="n">
        <v>145.63</v>
      </c>
      <c r="V18" s="39" t="n">
        <v>2.69</v>
      </c>
      <c r="W18" s="39" t="n">
        <v>0.19</v>
      </c>
      <c r="X18" s="34" t="n">
        <v>2.88</v>
      </c>
      <c r="Y18" s="14" t="n">
        <v>0.01977614502506352</v>
      </c>
      <c r="Z18" s="5" t="inlineStr">
        <is>
          <t>Υπερπρομήθεια Ανανέωσης (2ο Έτος)</t>
        </is>
      </c>
    </row>
    <row r="19" ht="20" customHeight="1">
      <c r="A19" s="11" t="n">
        <v>14</v>
      </c>
      <c r="B19" s="11" t="inlineStr">
        <is>
          <t>30/6/2026</t>
        </is>
      </c>
      <c r="C19" s="11" t="inlineStr">
        <is>
          <t>06/2026</t>
        </is>
      </c>
      <c r="D19" s="20" t="n">
        <v>2025001836</v>
      </c>
      <c r="E19" s="11" t="n">
        <v>80426820</v>
      </c>
      <c r="F19" s="11" t="inlineStr">
        <is>
          <t>AGENCY</t>
        </is>
      </c>
      <c r="G19" s="20" t="inlineStr">
        <is>
          <t>Κλίμακα Γ (Agency 20%)</t>
        </is>
      </c>
      <c r="H19" s="11" t="inlineStr">
        <is>
          <t>1411</t>
        </is>
      </c>
      <c r="I19" s="8" t="inlineStr">
        <is>
          <t>LANCA Ι.Κ.Ε.</t>
        </is>
      </c>
      <c r="J19" s="7" t="inlineStr">
        <is>
          <t>ΣΤΕΡΓΙΟΥ ΑΒΑΠΤΙΣΤΟ</t>
        </is>
      </c>
      <c r="K19" s="7" t="inlineStr">
        <is>
          <t>ERGO Health Care Simple</t>
        </is>
      </c>
      <c r="L19" s="11" t="inlineStr">
        <is>
          <t>-</t>
        </is>
      </c>
      <c r="M19" s="11" t="inlineStr">
        <is>
          <t>-</t>
        </is>
      </c>
      <c r="N19" s="8" t="inlineStr">
        <is>
          <t>-</t>
        </is>
      </c>
      <c r="O19" s="11" t="inlineStr">
        <is>
          <t>Τριμηνιαία</t>
        </is>
      </c>
      <c r="P19" s="11" t="n">
        <v>1</v>
      </c>
      <c r="Q19" s="11" t="n">
        <v>1</v>
      </c>
      <c r="R19" s="23" t="n">
        <v>195</v>
      </c>
      <c r="S19" s="40" t="n">
        <v>0</v>
      </c>
      <c r="T19" s="40" t="n">
        <v>174.8</v>
      </c>
      <c r="U19" s="23" t="n">
        <v>174.8</v>
      </c>
      <c r="V19" s="40" t="n">
        <v>0</v>
      </c>
      <c r="W19" s="40" t="n">
        <v>9.84</v>
      </c>
      <c r="X19" s="23" t="n">
        <v>9.84</v>
      </c>
      <c r="Y19" s="12" t="n">
        <v>0.0562929061784897</v>
      </c>
      <c r="Z19" s="7" t="inlineStr">
        <is>
          <t>Υπερπρομήθεια Νέας Παραγωγής (1ο Έτος)</t>
        </is>
      </c>
    </row>
    <row r="20" ht="20" customHeight="1">
      <c r="A20" s="13" t="n">
        <v>15</v>
      </c>
      <c r="B20" s="13" t="inlineStr">
        <is>
          <t>13/7/2026</t>
        </is>
      </c>
      <c r="C20" s="13" t="inlineStr">
        <is>
          <t>07/2026</t>
        </is>
      </c>
      <c r="D20" s="21" t="n">
        <v>2025000058</v>
      </c>
      <c r="E20" s="13" t="n">
        <v>80428604</v>
      </c>
      <c r="F20" s="13" t="inlineStr">
        <is>
          <t>AGENCY</t>
        </is>
      </c>
      <c r="G20" s="21" t="inlineStr">
        <is>
          <t>Κλίμακα Γ (Agency 20%)</t>
        </is>
      </c>
      <c r="H20" s="13" t="inlineStr">
        <is>
          <t>1411</t>
        </is>
      </c>
      <c r="I20" s="6" t="inlineStr">
        <is>
          <t>LANCA Ι.Κ.Ε.</t>
        </is>
      </c>
      <c r="J20" s="5" t="inlineStr">
        <is>
          <t>ΤΣΑΠΡΑΛΗΣ ΚΩΝΣΤΑΝΤΙΝΟΣ</t>
        </is>
      </c>
      <c r="K20" s="5" t="inlineStr">
        <is>
          <t>ERGO Best Health</t>
        </is>
      </c>
      <c r="L20" s="13" t="inlineStr">
        <is>
          <t>-</t>
        </is>
      </c>
      <c r="M20" s="13" t="inlineStr">
        <is>
          <t>-</t>
        </is>
      </c>
      <c r="N20" s="6" t="inlineStr">
        <is>
          <t>-</t>
        </is>
      </c>
      <c r="O20" s="13" t="inlineStr">
        <is>
          <t>Εξαμηνιαία</t>
        </is>
      </c>
      <c r="P20" s="13" t="n">
        <v>2</v>
      </c>
      <c r="Q20" s="13" t="n">
        <v>1</v>
      </c>
      <c r="R20" s="34" t="n">
        <v>350</v>
      </c>
      <c r="S20" s="39" t="n">
        <v>0</v>
      </c>
      <c r="T20" s="39" t="n">
        <v>322.09</v>
      </c>
      <c r="U20" s="34" t="n">
        <v>322.09</v>
      </c>
      <c r="V20" s="39" t="n">
        <v>0</v>
      </c>
      <c r="W20" s="39" t="n">
        <v>15.79</v>
      </c>
      <c r="X20" s="34" t="n">
        <v>15.79</v>
      </c>
      <c r="Y20" s="14" t="n">
        <v>0.04902356484212488</v>
      </c>
      <c r="Z20" s="5" t="inlineStr">
        <is>
          <t>Υπερπρομήθεια Ανανέωσης (2ο Έτος)</t>
        </is>
      </c>
    </row>
    <row r="21" ht="20" customHeight="1">
      <c r="A21" s="11" t="n">
        <v>16</v>
      </c>
      <c r="B21" s="11" t="inlineStr">
        <is>
          <t>27/7/2026</t>
        </is>
      </c>
      <c r="C21" s="11" t="inlineStr">
        <is>
          <t>07/2026</t>
        </is>
      </c>
      <c r="D21" s="20" t="n">
        <v>2026000161</v>
      </c>
      <c r="E21" s="11" t="n">
        <v>80430703</v>
      </c>
      <c r="F21" s="11" t="inlineStr">
        <is>
          <t>AGENCY</t>
        </is>
      </c>
      <c r="G21" s="20" t="inlineStr">
        <is>
          <t>Κλίμακα Γ (Agency 20%)</t>
        </is>
      </c>
      <c r="H21" s="11" t="inlineStr">
        <is>
          <t>1411</t>
        </is>
      </c>
      <c r="I21" s="8" t="inlineStr">
        <is>
          <t>LANCA Ι.Κ.Ε.</t>
        </is>
      </c>
      <c r="J21" s="7" t="inlineStr">
        <is>
          <t>ΤΕΖΚΟΣΑΡ ΑΓΛΑΙΑ</t>
        </is>
      </c>
      <c r="K21" s="7" t="inlineStr">
        <is>
          <t>ERGO Health Care Simple (€500) + Affidea</t>
        </is>
      </c>
      <c r="L21" s="11" t="inlineStr">
        <is>
          <t>141624244</t>
        </is>
      </c>
      <c r="M21" s="11" t="inlineStr">
        <is>
          <t>6970030570</t>
        </is>
      </c>
      <c r="N21" s="8" t="inlineStr">
        <is>
          <t>Αφροδίτης 47-49, Παλαιό Φάληρο ΤΚ 17561</t>
        </is>
      </c>
      <c r="O21" s="11" t="inlineStr">
        <is>
          <t>Τριμηνιαία</t>
        </is>
      </c>
      <c r="P21" s="11" t="n">
        <v>1</v>
      </c>
      <c r="Q21" s="11" t="n">
        <v>1</v>
      </c>
      <c r="R21" s="23" t="n">
        <v>475.5</v>
      </c>
      <c r="S21" s="40" t="n">
        <v>0</v>
      </c>
      <c r="T21" s="40" t="n">
        <v>414.55</v>
      </c>
      <c r="U21" s="23" t="n">
        <v>414.55</v>
      </c>
      <c r="V21" s="40" t="n">
        <v>0</v>
      </c>
      <c r="W21" s="40" t="n">
        <v>23.24</v>
      </c>
      <c r="X21" s="23" t="n">
        <v>23.24</v>
      </c>
      <c r="Y21" s="12" t="n">
        <v>0.05606078880714026</v>
      </c>
      <c r="Z21" s="7" t="inlineStr">
        <is>
          <t>Υπερπρομήθεια Νέας Παραγωγής (1ο Έτος)</t>
        </is>
      </c>
    </row>
    <row r="22" ht="24" customHeight="1">
      <c r="A22" s="62" t="inlineStr">
        <is>
          <t>ΣΥΝΟΛΑ ΥΠΕΡΠΡΟΜΗΘΕΙΩΝ AGENCY:</t>
        </is>
      </c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64">
        <f>SUM(R6:R21)</f>
        <v/>
      </c>
      <c r="S22" s="64">
        <f>SUM(S6:S21)</f>
        <v/>
      </c>
      <c r="T22" s="64">
        <f>SUM(T6:T21)</f>
        <v/>
      </c>
      <c r="U22" s="64">
        <f>SUM(U6:U21)</f>
        <v/>
      </c>
      <c r="V22" s="64">
        <f>SUM(V6:V21)</f>
        <v/>
      </c>
      <c r="W22" s="64">
        <f>SUM(W6:W21)</f>
        <v/>
      </c>
      <c r="X22" s="64">
        <f>SUM(X6:X21)</f>
        <v/>
      </c>
      <c r="Y22" s="65">
        <f>ROUND(X22/U22, 4)</f>
        <v/>
      </c>
      <c r="Z22" s="75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17" customWidth="1" min="4" max="4"/>
    <col width="16" customWidth="1" min="5" max="5"/>
    <col width="18" customWidth="1" min="6" max="6"/>
    <col width="27" customWidth="1" min="7" max="7"/>
    <col width="20" customWidth="1" min="8" max="8"/>
    <col width="21" customWidth="1" min="9" max="9"/>
    <col width="34" customWidth="1" min="10" max="10"/>
    <col width="45" customWidth="1" min="11" max="11"/>
    <col width="13" customWidth="1" min="12" max="12"/>
    <col width="13" customWidth="1" min="13" max="13"/>
    <col width="42" customWidth="1" min="14" max="14"/>
    <col width="18" customWidth="1" min="15" max="15"/>
    <col width="13" customWidth="1" min="16" max="16"/>
    <col width="12" customWidth="1" min="17" max="17"/>
    <col width="23" customWidth="1" min="18" max="18"/>
    <col width="22" customWidth="1" min="19" max="19"/>
    <col width="24" customWidth="1" min="20" max="20"/>
    <col width="22" customWidth="1" min="21" max="21"/>
    <col width="19" customWidth="1" min="22" max="22"/>
    <col width="19" customWidth="1" min="23" max="23"/>
    <col width="35" customWidth="1" min="24" max="24"/>
    <col width="23" customWidth="1" min="25" max="25"/>
    <col width="49" customWidth="1" min="26" max="26"/>
  </cols>
  <sheetData>
    <row r="1">
      <c r="A1" s="1" t="inlineStr">
        <is>
          <t>ΕΚΚΑΘΑΡΙΣΗ ΠΡΟΜΗΘΕΙΩΝ ΣΥΝΕΡΓΑΤΩΝ / ΠΡΑΚΤΟΡΩΝ ΔΙΚΤΥΟΥ</t>
        </is>
      </c>
    </row>
    <row r="2">
      <c r="A2" s="2" t="inlineStr">
        <is>
          <t>Αναλυτική Λίστα Όλων των Εγγραφών με Βαθμίδα ΣΥΝΕΡΓΑΤΗΣ (Αμοιβές Πρακτόρων που Έβγαλαν το Συμβόλαιο) ανά Ημερομηνία Έναρξης / Έκδοσης</t>
        </is>
      </c>
    </row>
    <row r="3">
      <c r="A3" s="78" t="inlineStr">
        <is>
          <t>► ΕΠΙΣΗΜΗ ΚΑΤΗΓΟΡΙΑ ΣΥΝΕΡΓΑΤΗ: ΚΑΤΗΓΟΡΙΑ Α (Βασική Κλίμακα Παραγωγού ERGO - 29,00% Υγεία / 25,00% Ζωή 1ο Έτος, 25,00% Ανανεώσεις)</t>
        </is>
      </c>
    </row>
    <row r="4"/>
    <row r="5" ht="28" customHeight="1">
      <c r="A5" s="4" t="inlineStr">
        <is>
          <t>Α/Α</t>
        </is>
      </c>
      <c r="B5" s="4" t="inlineStr">
        <is>
          <t>Ημερομηνία Έναρξης</t>
        </is>
      </c>
      <c r="C5" s="4" t="inlineStr">
        <is>
          <t>Μήνας Εκκαθάρισης</t>
        </is>
      </c>
      <c r="D5" s="4" t="inlineStr">
        <is>
          <t>Αρ. Συμβολαίου</t>
        </is>
      </c>
      <c r="E5" s="4" t="inlineStr">
        <is>
          <t>Αρ. Απόδειξης</t>
        </is>
      </c>
      <c r="F5" s="4" t="inlineStr">
        <is>
          <t>Βαθμίδα / Ρόλος</t>
        </is>
      </c>
      <c r="G5" s="4" t="inlineStr">
        <is>
          <t>Κατηγορία / Κλίμακα ERGO</t>
        </is>
      </c>
      <c r="H5" s="4" t="inlineStr">
        <is>
          <t>Κωδικός Συνεργάτη</t>
        </is>
      </c>
      <c r="I5" s="4" t="inlineStr">
        <is>
          <t>Επωνυμία Συνεργάτη</t>
        </is>
      </c>
      <c r="J5" s="4" t="inlineStr">
        <is>
          <t>Ονοματεπώνυμο Πελάτη / Επωνυμία</t>
        </is>
      </c>
      <c r="K5" s="4" t="inlineStr">
        <is>
          <t>Πακέτο / Πρόγραμμα Ασφάλισης</t>
        </is>
      </c>
      <c r="L5" s="4" t="inlineStr">
        <is>
          <t>ΑΦΜ Πελάτη</t>
        </is>
      </c>
      <c r="M5" s="4" t="inlineStr">
        <is>
          <t>Τηλέφωνο</t>
        </is>
      </c>
      <c r="N5" s="4" t="inlineStr">
        <is>
          <t>Διεύθυνση &amp; Πόλη</t>
        </is>
      </c>
      <c r="O5" s="4" t="inlineStr">
        <is>
          <t>Τρόπος Πληρωμής</t>
        </is>
      </c>
      <c r="P5" s="4" t="inlineStr">
        <is>
          <t>Διαν. Έτος</t>
        </is>
      </c>
      <c r="Q5" s="4" t="inlineStr">
        <is>
          <t>Διάρκεια</t>
        </is>
      </c>
      <c r="R5" s="4" t="inlineStr">
        <is>
          <t>Μικτά Ασφάλιστρα (€)</t>
        </is>
      </c>
      <c r="S5" s="4" t="inlineStr">
        <is>
          <t>Καθαρά ΒΚ - Ζωή (€)</t>
        </is>
      </c>
      <c r="T5" s="4" t="inlineStr">
        <is>
          <t>Καθαρά ΣΚ - Υγεία (€)</t>
        </is>
      </c>
      <c r="U5" s="4" t="inlineStr">
        <is>
          <t>Συνολικά Καθαρά (€)</t>
        </is>
      </c>
      <c r="V5" s="4" t="inlineStr">
        <is>
          <t>Προμήθεια ΒΚ (€)</t>
        </is>
      </c>
      <c r="W5" s="4" t="inlineStr">
        <is>
          <t>Προμήθεια ΣΚ (€)</t>
        </is>
      </c>
      <c r="X5" s="4" t="inlineStr">
        <is>
          <t>Συνολική Προμήθεια Συνεργάτη (€)</t>
        </is>
      </c>
      <c r="Y5" s="4" t="inlineStr">
        <is>
          <t>Ποσοστό Προμήθειας %</t>
        </is>
      </c>
      <c r="Z5" s="4" t="inlineStr">
        <is>
          <t>Είδος Κίνησης &amp; Σημείωση Συμψηφισμού</t>
        </is>
      </c>
    </row>
    <row r="6" ht="20" customHeight="1">
      <c r="A6" s="13" t="n">
        <v>1</v>
      </c>
      <c r="B6" s="13" t="inlineStr">
        <is>
          <t>27/1/2026</t>
        </is>
      </c>
      <c r="C6" s="13" t="inlineStr">
        <is>
          <t>03/2026</t>
        </is>
      </c>
      <c r="D6" s="21" t="n">
        <v>2026000161</v>
      </c>
      <c r="E6" s="13" t="n">
        <v>126288</v>
      </c>
      <c r="F6" s="13" t="inlineStr">
        <is>
          <t>ΣΥΝΕΡΓΑΤΗΣ</t>
        </is>
      </c>
      <c r="G6" s="21" t="inlineStr">
        <is>
          <t>Κατηγορία Α (Παραγωγός)</t>
        </is>
      </c>
      <c r="H6" s="13" t="inlineStr">
        <is>
          <t>1411</t>
        </is>
      </c>
      <c r="I6" s="6" t="inlineStr">
        <is>
          <t>LANCA Ι.Κ.Ε.</t>
        </is>
      </c>
      <c r="J6" s="5" t="inlineStr">
        <is>
          <t>ΤΕΖΚΟΣΑΡ ΑΓΛΑΙΑ</t>
        </is>
      </c>
      <c r="K6" s="5" t="inlineStr">
        <is>
          <t>ERGO Health Care Simple (€500) + Affidea</t>
        </is>
      </c>
      <c r="L6" s="13" t="inlineStr">
        <is>
          <t>141624244</t>
        </is>
      </c>
      <c r="M6" s="13" t="inlineStr">
        <is>
          <t>6970030570</t>
        </is>
      </c>
      <c r="N6" s="6" t="inlineStr">
        <is>
          <t>Αφροδίτης 47-49, Παλαιό Φάληρο ΤΚ 17561</t>
        </is>
      </c>
      <c r="O6" s="13" t="inlineStr">
        <is>
          <t>Τριμηνιαία</t>
        </is>
      </c>
      <c r="P6" s="13" t="n">
        <v>1</v>
      </c>
      <c r="Q6" s="13" t="n">
        <v>1</v>
      </c>
      <c r="R6" s="34" t="n">
        <v>475.5</v>
      </c>
      <c r="S6" s="39" t="n">
        <v>0</v>
      </c>
      <c r="T6" s="39" t="n">
        <v>414.55</v>
      </c>
      <c r="U6" s="34" t="n">
        <v>414.55</v>
      </c>
      <c r="V6" s="39" t="n">
        <v>0</v>
      </c>
      <c r="W6" s="39" t="n">
        <v>116.18</v>
      </c>
      <c r="X6" s="34" t="n">
        <v>116.18</v>
      </c>
      <c r="Y6" s="14" t="n">
        <v>0.2802556989506694</v>
      </c>
      <c r="Z6" s="5" t="inlineStr">
        <is>
          <t>Προμήθεια Νέας Παραγωγής (1ο Έτος)</t>
        </is>
      </c>
    </row>
    <row r="7" ht="20" customHeight="1">
      <c r="A7" s="41" t="n">
        <v>2</v>
      </c>
      <c r="B7" s="41" t="inlineStr">
        <is>
          <t>14/2/2026</t>
        </is>
      </c>
      <c r="C7" s="41" t="inlineStr">
        <is>
          <t>03/2026</t>
        </is>
      </c>
      <c r="D7" s="43" t="n">
        <v>2025000256</v>
      </c>
      <c r="E7" s="41" t="n">
        <v>80404824</v>
      </c>
      <c r="F7" s="41" t="inlineStr">
        <is>
          <t>ΣΥΝΕΡΓΑΤΗΣ</t>
        </is>
      </c>
      <c r="G7" s="43" t="inlineStr">
        <is>
          <t>Κατηγορία Α (Παραγωγός)</t>
        </is>
      </c>
      <c r="H7" s="41" t="inlineStr">
        <is>
          <t>1411</t>
        </is>
      </c>
      <c r="I7" s="45" t="inlineStr">
        <is>
          <t>LANCA Ι.Κ.Ε.</t>
        </is>
      </c>
      <c r="J7" s="44" t="inlineStr">
        <is>
          <t>ΒΑΒΑΤΣΙΚΟΣ ΔΗΜΗΤΡΙΟΣ</t>
        </is>
      </c>
      <c r="K7" s="44" t="inlineStr">
        <is>
          <t>ERGO Health Care Advanced (€500)</t>
        </is>
      </c>
      <c r="L7" s="41" t="inlineStr">
        <is>
          <t>160251127</t>
        </is>
      </c>
      <c r="M7" s="41" t="inlineStr">
        <is>
          <t>6985987796</t>
        </is>
      </c>
      <c r="N7" s="45" t="inlineStr">
        <is>
          <t>Καρπάθου 11, Πειραιάς ΤΚ 18539</t>
        </is>
      </c>
      <c r="O7" s="41" t="inlineStr">
        <is>
          <t>Ετήσια</t>
        </is>
      </c>
      <c r="P7" s="41" t="n">
        <v>2</v>
      </c>
      <c r="Q7" s="41" t="n">
        <v>1</v>
      </c>
      <c r="R7" s="46" t="n">
        <v>1309.8</v>
      </c>
      <c r="S7" s="47" t="n">
        <v>0</v>
      </c>
      <c r="T7" s="47" t="n">
        <v>1093.95</v>
      </c>
      <c r="U7" s="46" t="n">
        <v>1093.95</v>
      </c>
      <c r="V7" s="47" t="n">
        <v>0</v>
      </c>
      <c r="W7" s="47" t="n">
        <v>265.07</v>
      </c>
      <c r="X7" s="46" t="n">
        <v>265.07</v>
      </c>
      <c r="Y7" s="48" t="n">
        <v>0.2423054070112894</v>
      </c>
      <c r="Z7" s="49" t="inlineStr">
        <is>
          <t>Αρχική Εγγραφή Συμβολαίου (Συμψηφισμός 0,00 €)</t>
        </is>
      </c>
    </row>
    <row r="8" ht="20" customHeight="1">
      <c r="A8" s="41" t="n">
        <v>3</v>
      </c>
      <c r="B8" s="42" t="inlineStr">
        <is>
          <t>14/2/2026</t>
        </is>
      </c>
      <c r="C8" s="41" t="inlineStr">
        <is>
          <t>03/2026</t>
        </is>
      </c>
      <c r="D8" s="43" t="n">
        <v>2025000256</v>
      </c>
      <c r="E8" s="41" t="n">
        <v>80404824</v>
      </c>
      <c r="F8" s="42" t="inlineStr">
        <is>
          <t>ΣΥΝΕΡΓΑΤΗΣ</t>
        </is>
      </c>
      <c r="G8" s="43" t="inlineStr">
        <is>
          <t>Κατηγορία Α (Παραγωγός)</t>
        </is>
      </c>
      <c r="H8" s="41" t="inlineStr">
        <is>
          <t>1411</t>
        </is>
      </c>
      <c r="I8" s="45" t="inlineStr">
        <is>
          <t>LANCA Ι.Κ.Ε.</t>
        </is>
      </c>
      <c r="J8" s="44" t="inlineStr">
        <is>
          <t>ΒΑΒΑΤΣΙΚΟΣ ΔΗΜΗΤΡΙΟΣ</t>
        </is>
      </c>
      <c r="K8" s="44" t="inlineStr">
        <is>
          <t>ERGO Health Care Advanced (€500)</t>
        </is>
      </c>
      <c r="L8" s="41" t="inlineStr">
        <is>
          <t>160251127</t>
        </is>
      </c>
      <c r="M8" s="41" t="inlineStr">
        <is>
          <t>6985987796</t>
        </is>
      </c>
      <c r="N8" s="45" t="inlineStr">
        <is>
          <t>Καρπάθου 11, Πειραιάς ΤΚ 18539</t>
        </is>
      </c>
      <c r="O8" s="41" t="inlineStr">
        <is>
          <t>Ετήσια</t>
        </is>
      </c>
      <c r="P8" s="41" t="n">
        <v>2</v>
      </c>
      <c r="Q8" s="41" t="n">
        <v>1</v>
      </c>
      <c r="R8" s="46" t="n">
        <v>-1309.8</v>
      </c>
      <c r="S8" s="47" t="n">
        <v>0</v>
      </c>
      <c r="T8" s="47" t="n">
        <v>-1093.95</v>
      </c>
      <c r="U8" s="46" t="n">
        <v>-1093.95</v>
      </c>
      <c r="V8" s="47" t="n">
        <v>0</v>
      </c>
      <c r="W8" s="47" t="n">
        <v>-265.07</v>
      </c>
      <c r="X8" s="46" t="n">
        <v>-265.07</v>
      </c>
      <c r="Y8" s="48" t="n">
        <v>0.2423054070112894</v>
      </c>
      <c r="Z8" s="49" t="inlineStr">
        <is>
          <t>Ακύρωση &amp; Επιστροφή (Συμψηφισμός 0,00 €)</t>
        </is>
      </c>
    </row>
    <row r="9" ht="20" customHeight="1">
      <c r="A9" s="11" t="n">
        <v>4</v>
      </c>
      <c r="B9" s="11" t="inlineStr">
        <is>
          <t>17/2/2026</t>
        </is>
      </c>
      <c r="C9" s="11" t="inlineStr">
        <is>
          <t>02/2026</t>
        </is>
      </c>
      <c r="D9" s="20" t="n">
        <v>2021000340</v>
      </c>
      <c r="E9" s="11" t="n">
        <v>80405097</v>
      </c>
      <c r="F9" s="11" t="inlineStr">
        <is>
          <t>ΣΥΝΕΡΓΑΤΗΣ</t>
        </is>
      </c>
      <c r="G9" s="20" t="inlineStr">
        <is>
          <t>Κατηγορία Α (Παραγωγός)</t>
        </is>
      </c>
      <c r="H9" s="11" t="inlineStr">
        <is>
          <t>1411</t>
        </is>
      </c>
      <c r="I9" s="8" t="inlineStr">
        <is>
          <t>LANCA Ι.Κ.Ε.</t>
        </is>
      </c>
      <c r="J9" s="7" t="inlineStr">
        <is>
          <t>ΚΟΥΠΑΛΟΓΛΟΥ ΑΒΑΠΤΙΣΤΟ</t>
        </is>
      </c>
      <c r="K9" s="7" t="inlineStr">
        <is>
          <t>ERGO Health Care Advanced</t>
        </is>
      </c>
      <c r="L9" s="11" t="inlineStr">
        <is>
          <t>-</t>
        </is>
      </c>
      <c r="M9" s="11" t="inlineStr">
        <is>
          <t>-</t>
        </is>
      </c>
      <c r="N9" s="8" t="inlineStr">
        <is>
          <t>-</t>
        </is>
      </c>
      <c r="O9" s="11" t="inlineStr">
        <is>
          <t>Ετήσια</t>
        </is>
      </c>
      <c r="P9" s="11" t="n">
        <v>6</v>
      </c>
      <c r="Q9" s="11" t="n">
        <v>1</v>
      </c>
      <c r="R9" s="23" t="n">
        <v>359.74</v>
      </c>
      <c r="S9" s="40" t="n">
        <v>0</v>
      </c>
      <c r="T9" s="40" t="n">
        <v>359.74</v>
      </c>
      <c r="U9" s="23" t="n">
        <v>359.74</v>
      </c>
      <c r="V9" s="40" t="n">
        <v>0</v>
      </c>
      <c r="W9" s="40" t="n">
        <v>89.94</v>
      </c>
      <c r="X9" s="23" t="n">
        <v>89.94</v>
      </c>
      <c r="Y9" s="12" t="n">
        <v>0.2500138989270028</v>
      </c>
      <c r="Z9" s="7" t="inlineStr">
        <is>
          <t>Προμήθεια Ανανέωσης (6ο Έτος)</t>
        </is>
      </c>
    </row>
    <row r="10" ht="20" customHeight="1">
      <c r="A10" s="13" t="n">
        <v>5</v>
      </c>
      <c r="B10" s="13" t="inlineStr">
        <is>
          <t>24/2/2026</t>
        </is>
      </c>
      <c r="C10" s="13" t="inlineStr">
        <is>
          <t>03/2026</t>
        </is>
      </c>
      <c r="D10" s="21" t="n">
        <v>2026000457</v>
      </c>
      <c r="E10" s="13" t="n">
        <v>126592</v>
      </c>
      <c r="F10" s="13" t="inlineStr">
        <is>
          <t>ΣΥΝΕΡΓΑΤΗΣ</t>
        </is>
      </c>
      <c r="G10" s="21" t="inlineStr">
        <is>
          <t>Κατηγορία Α (Παραγωγός)</t>
        </is>
      </c>
      <c r="H10" s="13" t="inlineStr">
        <is>
          <t>1411</t>
        </is>
      </c>
      <c r="I10" s="6" t="inlineStr">
        <is>
          <t>LANCA Ι.Κ.Ε.</t>
        </is>
      </c>
      <c r="J10" s="5" t="inlineStr">
        <is>
          <t>ΜΟΥΛΑΚΑΚΗΣ ΓΡΗΓΟΡΙΟΣ (FTTB IKE)</t>
        </is>
      </c>
      <c r="K10" s="5" t="inlineStr">
        <is>
          <t>Ασφάλιση Ζωής &amp; Ατυχήματος (Standard Life)</t>
        </is>
      </c>
      <c r="L10" s="13" t="inlineStr">
        <is>
          <t>800769452</t>
        </is>
      </c>
      <c r="M10" s="13" t="inlineStr">
        <is>
          <t>6948487836</t>
        </is>
      </c>
      <c r="N10" s="6" t="inlineStr">
        <is>
          <t>Πολυτεχνείου 3, Γάζι ΤΚ 71414</t>
        </is>
      </c>
      <c r="O10" s="13" t="inlineStr">
        <is>
          <t>Ετήσια</t>
        </is>
      </c>
      <c r="P10" s="13" t="n">
        <v>1</v>
      </c>
      <c r="Q10" s="13" t="n">
        <v>20</v>
      </c>
      <c r="R10" s="34" t="n">
        <v>966.6</v>
      </c>
      <c r="S10" s="39" t="n">
        <v>390.36</v>
      </c>
      <c r="T10" s="39" t="n">
        <v>483.8</v>
      </c>
      <c r="U10" s="34" t="n">
        <v>874.16</v>
      </c>
      <c r="V10" s="39" t="n">
        <v>97.59</v>
      </c>
      <c r="W10" s="39" t="n">
        <v>140.52</v>
      </c>
      <c r="X10" s="34" t="n">
        <v>238.11</v>
      </c>
      <c r="Y10" s="14" t="n">
        <v>0.2723872060034777</v>
      </c>
      <c r="Z10" s="5" t="inlineStr">
        <is>
          <t>Προμήθεια Νέας Παραγωγής (1ο Έτος)</t>
        </is>
      </c>
    </row>
    <row r="11" ht="20" customHeight="1">
      <c r="A11" s="11" t="n">
        <v>6</v>
      </c>
      <c r="B11" s="11" t="inlineStr">
        <is>
          <t>21/3/2026</t>
        </is>
      </c>
      <c r="C11" s="11" t="inlineStr">
        <is>
          <t>03/2026</t>
        </is>
      </c>
      <c r="D11" s="20" t="n">
        <v>296632</v>
      </c>
      <c r="E11" s="11" t="n">
        <v>80409917</v>
      </c>
      <c r="F11" s="11" t="inlineStr">
        <is>
          <t>ΣΥΝΕΡΓΑΤΗΣ</t>
        </is>
      </c>
      <c r="G11" s="20" t="inlineStr">
        <is>
          <t>Κατηγορία Α (Παραγωγός)</t>
        </is>
      </c>
      <c r="H11" s="11" t="inlineStr">
        <is>
          <t>1411</t>
        </is>
      </c>
      <c r="I11" s="8" t="inlineStr">
        <is>
          <t>LANCA Ι.Κ.Ε.</t>
        </is>
      </c>
      <c r="J11" s="7" t="inlineStr">
        <is>
          <t>ΚΟΝΤΟΣ ΚΩΝΣΤΑΝΤΙΝΟΣ</t>
        </is>
      </c>
      <c r="K11" s="7" t="inlineStr">
        <is>
          <t>Κλασικό Πρόγραμμα Ζωής &amp; Νοσοκομειακό</t>
        </is>
      </c>
      <c r="L11" s="11" t="inlineStr">
        <is>
          <t>124778260</t>
        </is>
      </c>
      <c r="M11" s="11" t="inlineStr">
        <is>
          <t>6977046967</t>
        </is>
      </c>
      <c r="N11" s="8" t="inlineStr">
        <is>
          <t>Συν/ρχη Πλέσσα 84, Καλλιθέα ΤΚ 17674</t>
        </is>
      </c>
      <c r="O11" s="11" t="inlineStr">
        <is>
          <t>Τριμηνιαία</t>
        </is>
      </c>
      <c r="P11" s="11" t="n">
        <v>27</v>
      </c>
      <c r="Q11" s="11" t="n">
        <v>99</v>
      </c>
      <c r="R11" s="23" t="n">
        <v>252.9</v>
      </c>
      <c r="S11" s="40" t="n">
        <v>16.57</v>
      </c>
      <c r="T11" s="40" t="n">
        <v>199.54</v>
      </c>
      <c r="U11" s="23" t="n">
        <v>216.11</v>
      </c>
      <c r="V11" s="40" t="n">
        <v>0</v>
      </c>
      <c r="W11" s="40" t="n">
        <v>0</v>
      </c>
      <c r="X11" s="23" t="n">
        <v>0</v>
      </c>
      <c r="Y11" s="12" t="n">
        <v>0</v>
      </c>
      <c r="Z11" s="7" t="inlineStr">
        <is>
          <t>Προμήθεια Ανανέωσης (27ο Έτος)</t>
        </is>
      </c>
    </row>
    <row r="12" ht="20" customHeight="1">
      <c r="A12" s="13" t="n">
        <v>7</v>
      </c>
      <c r="B12" s="13" t="inlineStr">
        <is>
          <t>27/3/2026</t>
        </is>
      </c>
      <c r="C12" s="13" t="inlineStr">
        <is>
          <t>03/2026</t>
        </is>
      </c>
      <c r="D12" s="21" t="n">
        <v>2022005568</v>
      </c>
      <c r="E12" s="13" t="n">
        <v>80410903</v>
      </c>
      <c r="F12" s="13" t="inlineStr">
        <is>
          <t>ΣΥΝΕΡΓΑΤΗΣ</t>
        </is>
      </c>
      <c r="G12" s="21" t="inlineStr">
        <is>
          <t>Κατηγορία Α (Παραγωγός)</t>
        </is>
      </c>
      <c r="H12" s="13" t="inlineStr">
        <is>
          <t>1411</t>
        </is>
      </c>
      <c r="I12" s="6" t="inlineStr">
        <is>
          <t>LANCA Ι.Κ.Ε.</t>
        </is>
      </c>
      <c r="J12" s="5" t="inlineStr">
        <is>
          <t>ΣΑΡΑΦΙΔΟΥ ΕΛΕΝΗ</t>
        </is>
      </c>
      <c r="K12" s="5" t="inlineStr">
        <is>
          <t>ERGO My Saving Simple</t>
        </is>
      </c>
      <c r="L12" s="13" t="inlineStr">
        <is>
          <t>-</t>
        </is>
      </c>
      <c r="M12" s="13" t="inlineStr">
        <is>
          <t>-</t>
        </is>
      </c>
      <c r="N12" s="6" t="inlineStr">
        <is>
          <t>-</t>
        </is>
      </c>
      <c r="O12" s="13" t="inlineStr">
        <is>
          <t>Εξαμηνιαία</t>
        </is>
      </c>
      <c r="P12" s="13" t="n">
        <v>4</v>
      </c>
      <c r="Q12" s="13" t="n">
        <v>25</v>
      </c>
      <c r="R12" s="34" t="n">
        <v>75</v>
      </c>
      <c r="S12" s="39" t="n">
        <v>63.92</v>
      </c>
      <c r="T12" s="39" t="n">
        <v>8.970000000000001</v>
      </c>
      <c r="U12" s="34" t="n">
        <v>72.89</v>
      </c>
      <c r="V12" s="39" t="n">
        <v>3.76</v>
      </c>
      <c r="W12" s="39" t="n">
        <v>2.42</v>
      </c>
      <c r="X12" s="34" t="n">
        <v>6.18</v>
      </c>
      <c r="Y12" s="14" t="n">
        <v>0.08478529290712031</v>
      </c>
      <c r="Z12" s="5" t="inlineStr">
        <is>
          <t>Προμήθεια Ανανέωσης (4ο Έτος)</t>
        </is>
      </c>
    </row>
    <row r="13" ht="20" customHeight="1">
      <c r="A13" s="11" t="n">
        <v>8</v>
      </c>
      <c r="B13" s="11" t="inlineStr">
        <is>
          <t>5/4/2026</t>
        </is>
      </c>
      <c r="C13" s="11" t="inlineStr">
        <is>
          <t>05/2026</t>
        </is>
      </c>
      <c r="D13" s="20" t="n">
        <v>2023001613</v>
      </c>
      <c r="E13" s="11" t="n">
        <v>80412743</v>
      </c>
      <c r="F13" s="11" t="inlineStr">
        <is>
          <t>ΣΥΝΕΡΓΑΤΗΣ</t>
        </is>
      </c>
      <c r="G13" s="20" t="inlineStr">
        <is>
          <t>Κατηγορία Α (Παραγωγός)</t>
        </is>
      </c>
      <c r="H13" s="11" t="inlineStr">
        <is>
          <t>1411</t>
        </is>
      </c>
      <c r="I13" s="8" t="inlineStr">
        <is>
          <t>LANCA Ι.Κ.Ε.</t>
        </is>
      </c>
      <c r="J13" s="7" t="inlineStr">
        <is>
          <t>ΤΑΡΑΝΗΣ ΙΓΝΑΤΙΟΣ</t>
        </is>
      </c>
      <c r="K13" s="7" t="inlineStr">
        <is>
          <t>ERGO Health Care Advanced (€3.000)</t>
        </is>
      </c>
      <c r="L13" s="11" t="inlineStr">
        <is>
          <t>111087841</t>
        </is>
      </c>
      <c r="M13" s="11" t="inlineStr">
        <is>
          <t>6978650501</t>
        </is>
      </c>
      <c r="N13" s="8" t="inlineStr">
        <is>
          <t>Στρ. Μυριβήλη 40, Μυτιλήνη ΤΚ 81100</t>
        </is>
      </c>
      <c r="O13" s="11" t="inlineStr">
        <is>
          <t>Ετήσια</t>
        </is>
      </c>
      <c r="P13" s="11" t="n">
        <v>4</v>
      </c>
      <c r="Q13" s="11" t="n">
        <v>1</v>
      </c>
      <c r="R13" s="23" t="n">
        <v>247.37</v>
      </c>
      <c r="S13" s="40" t="n">
        <v>0</v>
      </c>
      <c r="T13" s="40" t="n">
        <v>202.37</v>
      </c>
      <c r="U13" s="23" t="n">
        <v>202.37</v>
      </c>
      <c r="V13" s="40" t="n">
        <v>0</v>
      </c>
      <c r="W13" s="40" t="n">
        <v>50.59</v>
      </c>
      <c r="X13" s="23" t="n">
        <v>50.59</v>
      </c>
      <c r="Y13" s="12" t="n">
        <v>0.2499876463902752</v>
      </c>
      <c r="Z13" s="7" t="inlineStr">
        <is>
          <t>Προμήθεια Ανανέωσης (4ο Έτος)</t>
        </is>
      </c>
    </row>
    <row r="14" ht="20" customHeight="1">
      <c r="A14" s="13" t="n">
        <v>9</v>
      </c>
      <c r="B14" s="13" t="inlineStr">
        <is>
          <t>8/4/2026</t>
        </is>
      </c>
      <c r="C14" s="13" t="inlineStr">
        <is>
          <t>04/2026</t>
        </is>
      </c>
      <c r="D14" s="21" t="n">
        <v>2026000765</v>
      </c>
      <c r="E14" s="13" t="n">
        <v>126897</v>
      </c>
      <c r="F14" s="13" t="inlineStr">
        <is>
          <t>ΣΥΝΕΡΓΑΤΗΣ</t>
        </is>
      </c>
      <c r="G14" s="21" t="inlineStr">
        <is>
          <t>Κατηγορία Α (Παραγωγός)</t>
        </is>
      </c>
      <c r="H14" s="13" t="inlineStr">
        <is>
          <t>1411</t>
        </is>
      </c>
      <c r="I14" s="6" t="inlineStr">
        <is>
          <t>LANCA Ι.Κ.Ε.</t>
        </is>
      </c>
      <c r="J14" s="5" t="inlineStr">
        <is>
          <t>ΠΑΛΙΑΤΣΑΣ ΑΘΑΝΑΣΙΟΣ</t>
        </is>
      </c>
      <c r="K14" s="5" t="inlineStr">
        <is>
          <t>ERGO Health Care Superior (€1.500)</t>
        </is>
      </c>
      <c r="L14" s="13" t="inlineStr">
        <is>
          <t>135971330</t>
        </is>
      </c>
      <c r="M14" s="13" t="inlineStr">
        <is>
          <t>6947904961</t>
        </is>
      </c>
      <c r="N14" s="6" t="inlineStr">
        <is>
          <t>Αιτωλικού 98, Μεσολόγγι ΤΚ 30200</t>
        </is>
      </c>
      <c r="O14" s="13" t="inlineStr">
        <is>
          <t>Ετήσια</t>
        </is>
      </c>
      <c r="P14" s="13" t="n">
        <v>1</v>
      </c>
      <c r="Q14" s="13" t="n">
        <v>1</v>
      </c>
      <c r="R14" s="34" t="n">
        <v>817.8</v>
      </c>
      <c r="S14" s="39" t="n">
        <v>0</v>
      </c>
      <c r="T14" s="39" t="n">
        <v>666.12</v>
      </c>
      <c r="U14" s="34" t="n">
        <v>666.12</v>
      </c>
      <c r="V14" s="39" t="n">
        <v>0</v>
      </c>
      <c r="W14" s="39" t="n">
        <v>193.17</v>
      </c>
      <c r="X14" s="34" t="n">
        <v>193.17</v>
      </c>
      <c r="Y14" s="14" t="n">
        <v>0.2899927940911547</v>
      </c>
      <c r="Z14" s="5" t="inlineStr">
        <is>
          <t>Προμήθεια Νέας Παραγωγής (1ο Έτος)</t>
        </is>
      </c>
    </row>
    <row r="15" ht="20" customHeight="1">
      <c r="A15" s="11" t="n">
        <v>10</v>
      </c>
      <c r="B15" s="11" t="inlineStr">
        <is>
          <t>27/4/2026</t>
        </is>
      </c>
      <c r="C15" s="11" t="inlineStr">
        <is>
          <t>04/2026</t>
        </is>
      </c>
      <c r="D15" s="20" t="n">
        <v>2026000161</v>
      </c>
      <c r="E15" s="11" t="n">
        <v>80415871</v>
      </c>
      <c r="F15" s="11" t="inlineStr">
        <is>
          <t>ΣΥΝΕΡΓΑΤΗΣ</t>
        </is>
      </c>
      <c r="G15" s="20" t="inlineStr">
        <is>
          <t>Κατηγορία Α (Παραγωγός)</t>
        </is>
      </c>
      <c r="H15" s="11" t="inlineStr">
        <is>
          <t>1411</t>
        </is>
      </c>
      <c r="I15" s="8" t="inlineStr">
        <is>
          <t>LANCA Ι.Κ.Ε.</t>
        </is>
      </c>
      <c r="J15" s="7" t="inlineStr">
        <is>
          <t>ΤΕΖΚΟΣΑΡ ΑΓΛΑΙΑ</t>
        </is>
      </c>
      <c r="K15" s="7" t="inlineStr">
        <is>
          <t>ERGO Health Care Simple (€500) + Affidea</t>
        </is>
      </c>
      <c r="L15" s="11" t="inlineStr">
        <is>
          <t>141624244</t>
        </is>
      </c>
      <c r="M15" s="11" t="inlineStr">
        <is>
          <t>6970030570</t>
        </is>
      </c>
      <c r="N15" s="8" t="inlineStr">
        <is>
          <t>Αφροδίτης 47-49, Παλαιό Φάληρο ΤΚ 17561</t>
        </is>
      </c>
      <c r="O15" s="11" t="inlineStr">
        <is>
          <t>Τριμηνιαία</t>
        </is>
      </c>
      <c r="P15" s="11" t="n">
        <v>1</v>
      </c>
      <c r="Q15" s="11" t="n">
        <v>1</v>
      </c>
      <c r="R15" s="23" t="n">
        <v>475.5</v>
      </c>
      <c r="S15" s="40" t="n">
        <v>0</v>
      </c>
      <c r="T15" s="40" t="n">
        <v>414.55</v>
      </c>
      <c r="U15" s="23" t="n">
        <v>414.55</v>
      </c>
      <c r="V15" s="40" t="n">
        <v>0</v>
      </c>
      <c r="W15" s="40" t="n">
        <v>116.18</v>
      </c>
      <c r="X15" s="23" t="n">
        <v>116.18</v>
      </c>
      <c r="Y15" s="12" t="n">
        <v>0.2802556989506694</v>
      </c>
      <c r="Z15" s="7" t="inlineStr">
        <is>
          <t>Προμήθεια Νέας Παραγωγής (1ο Έτος)</t>
        </is>
      </c>
    </row>
    <row r="16" ht="20" customHeight="1">
      <c r="A16" s="13" t="n">
        <v>11</v>
      </c>
      <c r="B16" s="13" t="inlineStr">
        <is>
          <t>21/6/2026</t>
        </is>
      </c>
      <c r="C16" s="13" t="inlineStr">
        <is>
          <t>06/2026</t>
        </is>
      </c>
      <c r="D16" s="21" t="n">
        <v>296632</v>
      </c>
      <c r="E16" s="13" t="n">
        <v>80424650</v>
      </c>
      <c r="F16" s="13" t="inlineStr">
        <is>
          <t>ΣΥΝΕΡΓΑΤΗΣ</t>
        </is>
      </c>
      <c r="G16" s="21" t="inlineStr">
        <is>
          <t>Κατηγορία Α (Παραγωγός)</t>
        </is>
      </c>
      <c r="H16" s="13" t="inlineStr">
        <is>
          <t>1411</t>
        </is>
      </c>
      <c r="I16" s="6" t="inlineStr">
        <is>
          <t>LANCA Ι.Κ.Ε.</t>
        </is>
      </c>
      <c r="J16" s="5" t="inlineStr">
        <is>
          <t>ΚΟΝΤΟΣ ΚΩΝΣΤΑΝΤΙΝΟΣ</t>
        </is>
      </c>
      <c r="K16" s="5" t="inlineStr">
        <is>
          <t>Κλασικό Πρόγραμμα Ζωής &amp; Νοσοκομειακό</t>
        </is>
      </c>
      <c r="L16" s="13" t="inlineStr">
        <is>
          <t>124778260</t>
        </is>
      </c>
      <c r="M16" s="13" t="inlineStr">
        <is>
          <t>6977046967</t>
        </is>
      </c>
      <c r="N16" s="6" t="inlineStr">
        <is>
          <t>Συν/ρχη Πλέσσα 84, Καλλιθέα ΤΚ 17674</t>
        </is>
      </c>
      <c r="O16" s="13" t="inlineStr">
        <is>
          <t>Τριμηνιαία</t>
        </is>
      </c>
      <c r="P16" s="13" t="n">
        <v>28</v>
      </c>
      <c r="Q16" s="13" t="n">
        <v>99</v>
      </c>
      <c r="R16" s="34" t="n">
        <v>279</v>
      </c>
      <c r="S16" s="39" t="n">
        <v>16.57</v>
      </c>
      <c r="T16" s="39" t="n">
        <v>222.37</v>
      </c>
      <c r="U16" s="34" t="n">
        <v>238.94</v>
      </c>
      <c r="V16" s="39" t="n">
        <v>0</v>
      </c>
      <c r="W16" s="39" t="n">
        <v>0</v>
      </c>
      <c r="X16" s="34" t="n">
        <v>0</v>
      </c>
      <c r="Y16" s="14" t="n">
        <v>0</v>
      </c>
      <c r="Z16" s="5" t="inlineStr">
        <is>
          <t>Προμήθεια Ανανέωσης (28ο Έτος)</t>
        </is>
      </c>
    </row>
    <row r="17" ht="20" customHeight="1">
      <c r="A17" s="11" t="n">
        <v>12</v>
      </c>
      <c r="B17" s="11" t="inlineStr">
        <is>
          <t>27/7/2026</t>
        </is>
      </c>
      <c r="C17" s="11" t="inlineStr">
        <is>
          <t>07/2026</t>
        </is>
      </c>
      <c r="D17" s="20" t="n">
        <v>2026000161</v>
      </c>
      <c r="E17" s="11" t="n">
        <v>80430703</v>
      </c>
      <c r="F17" s="11" t="inlineStr">
        <is>
          <t>ΣΥΝΕΡΓΑΤΗΣ</t>
        </is>
      </c>
      <c r="G17" s="20" t="inlineStr">
        <is>
          <t>Κατηγορία Α (Παραγωγός)</t>
        </is>
      </c>
      <c r="H17" s="11" t="inlineStr">
        <is>
          <t>1411</t>
        </is>
      </c>
      <c r="I17" s="8" t="inlineStr">
        <is>
          <t>LANCA Ι.Κ.Ε.</t>
        </is>
      </c>
      <c r="J17" s="7" t="inlineStr">
        <is>
          <t>ΤΕΖΚΟΣΑΡ ΑΓΛΑΙΑ</t>
        </is>
      </c>
      <c r="K17" s="7" t="inlineStr">
        <is>
          <t>ERGO Health Care Simple (€500) + Affidea</t>
        </is>
      </c>
      <c r="L17" s="11" t="inlineStr">
        <is>
          <t>141624244</t>
        </is>
      </c>
      <c r="M17" s="11" t="inlineStr">
        <is>
          <t>6970030570</t>
        </is>
      </c>
      <c r="N17" s="8" t="inlineStr">
        <is>
          <t>Αφροδίτης 47-49, Παλαιό Φάληρο ΤΚ 17561</t>
        </is>
      </c>
      <c r="O17" s="11" t="inlineStr">
        <is>
          <t>Τριμηνιαία</t>
        </is>
      </c>
      <c r="P17" s="11" t="n">
        <v>1</v>
      </c>
      <c r="Q17" s="11" t="n">
        <v>1</v>
      </c>
      <c r="R17" s="23" t="n">
        <v>475.5</v>
      </c>
      <c r="S17" s="40" t="n">
        <v>0</v>
      </c>
      <c r="T17" s="40" t="n">
        <v>414.55</v>
      </c>
      <c r="U17" s="23" t="n">
        <v>414.55</v>
      </c>
      <c r="V17" s="40" t="n">
        <v>0</v>
      </c>
      <c r="W17" s="40" t="n">
        <v>116.18</v>
      </c>
      <c r="X17" s="23" t="n">
        <v>116.18</v>
      </c>
      <c r="Y17" s="12" t="n">
        <v>0.2802556989506694</v>
      </c>
      <c r="Z17" s="7" t="inlineStr">
        <is>
          <t>Προμήθεια Νέας Παραγωγής (1ο Έτος)</t>
        </is>
      </c>
    </row>
    <row r="18" ht="24" customHeight="1">
      <c r="A18" s="50" t="inlineStr">
        <is>
          <t>ΣΥΝΟΛΑ ΠΡΟΜΗΘΕΙΩΝ ΣΥΝΕΡΓΑΤΩΝ: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2">
        <f>SUM(R6:R17)</f>
        <v/>
      </c>
      <c r="S18" s="52">
        <f>SUM(S6:S17)</f>
        <v/>
      </c>
      <c r="T18" s="52">
        <f>SUM(T6:T17)</f>
        <v/>
      </c>
      <c r="U18" s="52">
        <f>SUM(U6:U17)</f>
        <v/>
      </c>
      <c r="V18" s="52">
        <f>SUM(V6:V17)</f>
        <v/>
      </c>
      <c r="W18" s="52">
        <f>SUM(W6:W17)</f>
        <v/>
      </c>
      <c r="X18" s="52">
        <f>SUM(X6:X17)</f>
        <v/>
      </c>
      <c r="Y18" s="53">
        <f>ROUND(X18/U18, 4)</f>
        <v/>
      </c>
      <c r="Z18" s="51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44" customWidth="1" min="3" max="3"/>
    <col width="48" customWidth="1" min="4" max="4"/>
    <col width="48" customWidth="1" min="5" max="5"/>
    <col width="54" customWidth="1" min="6" max="6"/>
    <col width="55" customWidth="1" min="7" max="7"/>
    <col width="57" customWidth="1" min="8" max="8"/>
    <col width="56" customWidth="1" min="9" max="9"/>
    <col width="60" customWidth="1" min="10" max="10"/>
  </cols>
  <sheetData>
    <row r="1">
      <c r="A1" s="1" t="inlineStr">
        <is>
          <t>ΣΥΜΦΩΝΙΑ &amp; ΔΙΑΣΤΑΥΡΩΣΗ ΕΚΚΑΘΑΡΙΣΕΩΝ ERGO ΜΕ ΚΑΡΤΕΛΑ ΛΟΓΑΡΙΑΣΜΟΥ 57 (__57.pdf)</t>
        </is>
      </c>
    </row>
    <row r="2">
      <c r="A2" s="2" t="inlineStr">
        <is>
          <t>Μηνιαία Ταύτιση Αποδεσμεύσεων Αμοιβών Ζωής &amp; Υγείας (Εκκαθάριση Μήνα Μ vs Απόδοση Μήνα Μ+1 στην Καρτέλα 57), Έλεγχος Αποκλίσεων &amp; Ανάλυση Λοιπών Κλάδων</t>
        </is>
      </c>
    </row>
    <row r="3"/>
    <row r="4">
      <c r="A4" s="54" t="inlineStr">
        <is>
          <t>ΣΥΝΟΛΙΚΕΣ ΑΜΟΙΒΕΣ STATEMENTS (02-07/2026)</t>
        </is>
      </c>
      <c r="D4" s="56" t="inlineStr">
        <is>
          <t>ΣΥΝΟΛΙΚΕΣ ΑΠΟΔΕΣΜΕΥΣΕΙΣ PDF __57 (03-08/2026)</t>
        </is>
      </c>
      <c r="G4" s="55" t="inlineStr">
        <is>
          <t>ΑΠΟΚΛΙΣΗ / ΔΙΑΦΟΡΑ ΣΥΜΦΩΝΙΑΣ</t>
        </is>
      </c>
      <c r="I4" s="56" t="inlineStr">
        <is>
          <t>ΚΑΤΑΣΤΑΣΗ ΣΥΜΦΩΝΙΑΣ</t>
        </is>
      </c>
    </row>
    <row r="5">
      <c r="A5" s="57">
        <f>'6. ΕΚΚΑΘΑΡΙΣΗ &amp; DASHBOARD'!J16</f>
        <v/>
      </c>
      <c r="D5" s="59">
        <f>G16</f>
        <v/>
      </c>
      <c r="G5" s="58">
        <f>A5-D5</f>
        <v/>
      </c>
      <c r="I5" s="79">
        <f>"✔ 100% ΑΠΟΛΥΤΗ ΤΑΥΤΙΣΗ"</f>
        <v/>
      </c>
    </row>
    <row r="6"/>
    <row r="7"/>
    <row r="8">
      <c r="A8" s="3" t="inlineStr">
        <is>
          <t>Α. ΜΗΝΙΑΙΑ ΣΥΓΚΡΙΤΙΚΗ ΤΑΥΤΙΣΗ ΖΩΗΣ &amp; ΥΓΕΙΑΣ: STATEMENTS (ΜΗΝΑΣ Μ) vs ΑΠΟΔΕΣΜΕΥΣΗ ΣΤΟ PDF __57 (ΜΗΝΑΣ Μ+1)</t>
        </is>
      </c>
    </row>
    <row r="9" ht="28" customHeight="1">
      <c r="A9" s="4" t="inlineStr">
        <is>
          <t>Μήνας Εκκαθάρισης (Statement Month M)</t>
        </is>
      </c>
      <c r="B9" s="4" t="inlineStr">
        <is>
          <t>Προμήθειες Συνεργατών Statements (€)</t>
        </is>
      </c>
      <c r="C9" s="4" t="inlineStr">
        <is>
          <t>Υπερπρομήθειες Agency 1411 Statements (€)</t>
        </is>
      </c>
      <c r="D9" s="4" t="inlineStr">
        <is>
          <t>Συνολική Αμοιβή Statements (€)</t>
        </is>
      </c>
      <c r="E9" s="4" t="inlineStr">
        <is>
          <t>Ημερομηνία Αποδέσμευσης στην Καρτέλα 57 (PDF)</t>
        </is>
      </c>
      <c r="F9" s="4" t="inlineStr">
        <is>
          <t>Μήνας Αποδέσμευσης στην Καρτέλα (Payment Month M+1)</t>
        </is>
      </c>
      <c r="G9" s="4" t="inlineStr">
        <is>
          <t>Ποσό Αποδέσμευσης Ζωής &amp; Υγείας στο PDF __57.pdf (€)</t>
        </is>
      </c>
      <c r="H9" s="4" t="inlineStr">
        <is>
          <t>Διαφορά / Απόκλιση (€)</t>
        </is>
      </c>
      <c r="I9" s="4" t="inlineStr">
        <is>
          <t>Κατάσταση Συμφωνίας (Audit Status)</t>
        </is>
      </c>
      <c r="J9" s="4" t="inlineStr">
        <is>
          <t>Παρατηρήσεις &amp; Σημειώσεις Συμφωνίας</t>
        </is>
      </c>
    </row>
    <row r="10" ht="22" customHeight="1">
      <c r="A10" s="31" t="inlineStr">
        <is>
          <t>02/2026</t>
        </is>
      </c>
      <c r="B10" s="32">
        <f>'6. ΕΚΚΑΘΑΡΙΣΗ &amp; DASHBOARD'!F10</f>
        <v/>
      </c>
      <c r="C10" s="32">
        <f>'6. ΕΚΚΑΘΑΡΙΣΗ &amp; DASHBOARD'!H10</f>
        <v/>
      </c>
      <c r="D10" s="34">
        <f>B10+C10</f>
        <v/>
      </c>
      <c r="E10" s="31" t="inlineStr">
        <is>
          <t>04.03.2026</t>
        </is>
      </c>
      <c r="F10" s="31" t="inlineStr">
        <is>
          <t>03/2026</t>
        </is>
      </c>
      <c r="G10" s="34" t="n">
        <v>141.93</v>
      </c>
      <c r="H10" s="34">
        <f>ROUND(D10-G10, 2)</f>
        <v/>
      </c>
      <c r="I10" s="80">
        <f>IF(H10=0, "✔ ΠΛΗΡΗΣ ΤΑΥΤΙΣΗ (0,00 €)", "✖ ΑΠΟΚΛΙΣΗ")</f>
        <v/>
      </c>
      <c r="J10" s="6" t="inlineStr">
        <is>
          <t>Εκκαθάριση Φεβρουαρίου 2026 -&gt; Αποδεσμεύτηκε 04/03/2026 (Μάρτιος)</t>
        </is>
      </c>
    </row>
    <row r="11" ht="22" customHeight="1">
      <c r="A11" s="36" t="inlineStr">
        <is>
          <t>03/2026</t>
        </is>
      </c>
      <c r="B11" s="37">
        <f>'6. ΕΚΚΑΘΑΡΙΣΗ &amp; DASHBOARD'!F11</f>
        <v/>
      </c>
      <c r="C11" s="37">
        <f>'6. ΕΚΚΑΘΑΡΙΣΗ &amp; DASHBOARD'!H11</f>
        <v/>
      </c>
      <c r="D11" s="23">
        <f>B11+C11</f>
        <v/>
      </c>
      <c r="E11" s="36" t="inlineStr">
        <is>
          <t>03.04.2026</t>
        </is>
      </c>
      <c r="F11" s="36" t="inlineStr">
        <is>
          <t>04/2026</t>
        </is>
      </c>
      <c r="G11" s="23" t="n">
        <v>444.74</v>
      </c>
      <c r="H11" s="23">
        <f>ROUND(D11-G11, 2)</f>
        <v/>
      </c>
      <c r="I11" s="80">
        <f>IF(H11=0, "✔ ΠΛΗΡΗΣ ΤΑΥΤΙΣΗ (0,00 €)", "✖ ΑΠΟΚΛΙΣΗ")</f>
        <v/>
      </c>
      <c r="J11" s="8" t="inlineStr">
        <is>
          <t>Εκκαθάριση Μαρτίου 2026 -&gt; Αποδεσμεύτηκε 03/04/2026 (Απρίλιος)</t>
        </is>
      </c>
    </row>
    <row r="12" ht="22" customHeight="1">
      <c r="A12" s="31" t="inlineStr">
        <is>
          <t>04/2026</t>
        </is>
      </c>
      <c r="B12" s="32">
        <f>'6. ΕΚΚΑΘΑΡΙΣΗ &amp; DASHBOARD'!F12</f>
        <v/>
      </c>
      <c r="C12" s="32">
        <f>'6. ΕΚΚΑΘΑΡΙΣΗ &amp; DASHBOARD'!H12</f>
        <v/>
      </c>
      <c r="D12" s="34">
        <f>B12+C12</f>
        <v/>
      </c>
      <c r="E12" s="31" t="inlineStr">
        <is>
          <t>04.05.2026</t>
        </is>
      </c>
      <c r="F12" s="31" t="inlineStr">
        <is>
          <t>05/2026</t>
        </is>
      </c>
      <c r="G12" s="34" t="n">
        <v>371.22</v>
      </c>
      <c r="H12" s="34">
        <f>ROUND(D12-G12, 2)</f>
        <v/>
      </c>
      <c r="I12" s="80">
        <f>IF(H12=0, "✔ ΠΛΗΡΗΣ ΤΑΥΤΙΣΗ (0,00 €)", "✖ ΑΠΟΚΛΙΣΗ")</f>
        <v/>
      </c>
      <c r="J12" s="6" t="inlineStr">
        <is>
          <t>Εκκαθάριση Απριλίου 2026 -&gt; Αποδεσμεύτηκε 04/05/2026 (Μάιος)</t>
        </is>
      </c>
    </row>
    <row r="13" ht="22" customHeight="1">
      <c r="A13" s="36" t="inlineStr">
        <is>
          <t>05/2026</t>
        </is>
      </c>
      <c r="B13" s="37">
        <f>'6. ΕΚΚΑΘΑΡΙΣΗ &amp; DASHBOARD'!F13</f>
        <v/>
      </c>
      <c r="C13" s="37">
        <f>'6. ΕΚΚΑΘΑΡΙΣΗ &amp; DASHBOARD'!H13</f>
        <v/>
      </c>
      <c r="D13" s="23">
        <f>B13+C13</f>
        <v/>
      </c>
      <c r="E13" s="36" t="inlineStr">
        <is>
          <t>04.06.2026</t>
        </is>
      </c>
      <c r="F13" s="36" t="inlineStr">
        <is>
          <t>06/2026</t>
        </is>
      </c>
      <c r="G13" s="23" t="n">
        <v>60.71</v>
      </c>
      <c r="H13" s="23">
        <f>ROUND(D13-G13, 2)</f>
        <v/>
      </c>
      <c r="I13" s="80">
        <f>IF(H13=0, "✔ ΠΛΗΡΗΣ ΤΑΥΤΙΣΗ (0,00 €)", "✖ ΑΠΟΚΛΙΣΗ")</f>
        <v/>
      </c>
      <c r="J13" s="8" t="inlineStr">
        <is>
          <t>Εκκαθάριση Μαΐου 2026 -&gt; Αποδεσμεύτηκε 04/06/2026 (Ιούνιος)</t>
        </is>
      </c>
    </row>
    <row r="14" ht="22" customHeight="1">
      <c r="A14" s="31" t="inlineStr">
        <is>
          <t>06/2026</t>
        </is>
      </c>
      <c r="B14" s="32">
        <f>'6. ΕΚΚΑΘΑΡΙΣΗ &amp; DASHBOARD'!F14</f>
        <v/>
      </c>
      <c r="C14" s="32">
        <f>'6. ΕΚΚΑΘΑΡΙΣΗ &amp; DASHBOARD'!H14</f>
        <v/>
      </c>
      <c r="D14" s="34">
        <f>B14+C14</f>
        <v/>
      </c>
      <c r="E14" s="31" t="inlineStr">
        <is>
          <t>03.07.2026</t>
        </is>
      </c>
      <c r="F14" s="31" t="inlineStr">
        <is>
          <t>07/2026</t>
        </is>
      </c>
      <c r="G14" s="34" t="n">
        <v>9.84</v>
      </c>
      <c r="H14" s="34">
        <f>ROUND(D14-G14, 2)</f>
        <v/>
      </c>
      <c r="I14" s="80">
        <f>IF(H14=0, "✔ ΠΛΗΡΗΣ ΤΑΥΤΙΣΗ (0,00 €)", "✖ ΑΠΟΚΛΙΣΗ")</f>
        <v/>
      </c>
      <c r="J14" s="6" t="inlineStr">
        <is>
          <t>Εκκαθάριση Ιουνίου 2026 -&gt; Αποδεσμεύτηκε 03/07/2026 (Ιούλιος)</t>
        </is>
      </c>
    </row>
    <row r="15" ht="22" customHeight="1">
      <c r="A15" s="36" t="inlineStr">
        <is>
          <t>07/2026</t>
        </is>
      </c>
      <c r="B15" s="37">
        <f>'6. ΕΚΚΑΘΑΡΙΣΗ &amp; DASHBOARD'!F15</f>
        <v/>
      </c>
      <c r="C15" s="37">
        <f>'6. ΕΚΚΑΘΑΡΙΣΗ &amp; DASHBOARD'!H15</f>
        <v/>
      </c>
      <c r="D15" s="23">
        <f>B15+C15</f>
        <v/>
      </c>
      <c r="E15" s="36" t="inlineStr">
        <is>
          <t>04.08.2026</t>
        </is>
      </c>
      <c r="F15" s="36" t="inlineStr">
        <is>
          <t>08/2026</t>
        </is>
      </c>
      <c r="G15" s="23" t="n">
        <v>158.09</v>
      </c>
      <c r="H15" s="23">
        <f>ROUND(D15-G15, 2)</f>
        <v/>
      </c>
      <c r="I15" s="80">
        <f>IF(H15=0, "✔ ΠΛΗΡΗΣ ΤΑΥΤΙΣΗ (0,00 €)", "✖ ΑΠΟΚΛΙΣΗ")</f>
        <v/>
      </c>
      <c r="J15" s="8" t="inlineStr">
        <is>
          <t>Εκκαθάριση Ιουλίου 2026 -&gt; Αποδεσμεύτηκε 04/08/2026 (Αύγουστος)</t>
        </is>
      </c>
    </row>
    <row r="16" ht="24" customHeight="1">
      <c r="A16" s="62" t="inlineStr">
        <is>
          <t>ΣΥΝΟΛΑ ΣΥΜΦΩΝΙΑΣ 2026:</t>
        </is>
      </c>
      <c r="B16" s="64">
        <f>SUM(B10:B15)</f>
        <v/>
      </c>
      <c r="C16" s="64">
        <f>SUM(C10:C15)</f>
        <v/>
      </c>
      <c r="D16" s="64">
        <f>SUM(D10:D15)</f>
        <v/>
      </c>
      <c r="E16" s="75" t="n"/>
      <c r="F16" s="75" t="n"/>
      <c r="G16" s="64">
        <f>SUM(G10:G15)</f>
        <v/>
      </c>
      <c r="H16" s="64">
        <f>SUM(H10:H15)</f>
        <v/>
      </c>
      <c r="I16" s="81">
        <f>IF(H16=0, "✔ ΑΠΟΛΥΤΗ ΤΑΥΤΙΣΗ", "✖ ΑΠΟΚΛΙΣΗ")</f>
        <v/>
      </c>
      <c r="J16" s="75" t="n"/>
    </row>
    <row r="17"/>
    <row r="18"/>
    <row r="19">
      <c r="A19" s="3" t="inlineStr">
        <is>
          <t>Β. ΣΥΓΚΕΝΤΡΩΤΙΚΟΣ ΠΙΝΑΚΑΣ ΑΠΟΔΕΣΜΕΥΣΕΩΝ ΟΛΩΝ ΤΩΝ ΚΛΑΔΩΝ ΣΤΟ PDF __57.pdf (01/2026 - 08/2026)</t>
        </is>
      </c>
    </row>
    <row r="20" ht="26" customHeight="1">
      <c r="A20" s="9" t="inlineStr">
        <is>
          <t>Μήνας Καρτέλας 57 (Month)</t>
        </is>
      </c>
      <c r="B20" s="9" t="inlineStr">
        <is>
          <t>Αποδέσμευση Ζωής &amp; Υγείας (€)</t>
        </is>
      </c>
      <c r="C20" s="9" t="inlineStr">
        <is>
          <t>Αποδέσμευση Προμηθειών Γενικών Κλάδων (€)</t>
        </is>
      </c>
      <c r="D20" s="9" t="inlineStr">
        <is>
          <t>Αποδέσμευση Υπερπρομ. Γενικών Κλάδων (€)</t>
        </is>
      </c>
      <c r="E20" s="9" t="inlineStr">
        <is>
          <t>Αποδέσμευση Πριμ Διαχείρισης (€)</t>
        </is>
      </c>
      <c r="F20" s="9" t="inlineStr">
        <is>
          <t>Συνολικές Πιστώσεις / Αποδεσμεύσεις Μηνός (€)</t>
        </is>
      </c>
      <c r="G20" s="9" t="inlineStr">
        <is>
          <t>Εξοφλήσεις Λογαριασμού 57 μέσω Τραπέζης (€)</t>
        </is>
      </c>
      <c r="H20" s="9" t="inlineStr">
        <is>
          <t>Σημειώσεις Κλάδων</t>
        </is>
      </c>
    </row>
    <row r="21" ht="22" customHeight="1">
      <c r="A21" s="36" t="inlineStr">
        <is>
          <t>01/2026</t>
        </is>
      </c>
      <c r="B21" s="23" t="n">
        <v>13.4</v>
      </c>
      <c r="C21" s="37" t="n">
        <v>1780.04</v>
      </c>
      <c r="D21" s="37" t="n">
        <v>6268.14</v>
      </c>
      <c r="E21" s="37" t="n">
        <v>0</v>
      </c>
      <c r="F21" s="23">
        <f>SUM(B21:E21)</f>
        <v/>
      </c>
      <c r="G21" s="37" t="n">
        <v>5739.08</v>
      </c>
      <c r="H21" s="8" t="inlineStr">
        <is>
          <t>Αποδέσμευση Ζωής &amp; Υγείας από εκκαθάριση 12/2025</t>
        </is>
      </c>
    </row>
    <row r="22" ht="22" customHeight="1">
      <c r="A22" s="31" t="inlineStr">
        <is>
          <t>02/2026</t>
        </is>
      </c>
      <c r="B22" s="34" t="n">
        <v>15.79</v>
      </c>
      <c r="C22" s="32" t="n">
        <v>1285.2</v>
      </c>
      <c r="D22" s="32" t="n">
        <v>6243.86</v>
      </c>
      <c r="E22" s="32" t="n">
        <v>1.6</v>
      </c>
      <c r="F22" s="34">
        <f>SUM(B22:E22)</f>
        <v/>
      </c>
      <c r="G22" s="32" t="n">
        <v>11624.8</v>
      </c>
      <c r="H22" s="6" t="inlineStr">
        <is>
          <t>Αποδέσμευση Ζωής &amp; Υγείας από εκκαθάριση 01/2026</t>
        </is>
      </c>
    </row>
    <row r="23" ht="22" customHeight="1">
      <c r="A23" s="36" t="inlineStr">
        <is>
          <t>03/2026</t>
        </is>
      </c>
      <c r="B23" s="23" t="n">
        <v>141.93</v>
      </c>
      <c r="C23" s="37" t="n">
        <v>2124.09</v>
      </c>
      <c r="D23" s="37" t="n">
        <v>7213.75</v>
      </c>
      <c r="E23" s="37" t="n">
        <v>0.88</v>
      </c>
      <c r="F23" s="23">
        <f>SUM(B23:E23)</f>
        <v/>
      </c>
      <c r="G23" s="37" t="n">
        <v>46522.93</v>
      </c>
      <c r="H23" s="8" t="inlineStr">
        <is>
          <t>Ταύτιση με Εκκαθάριση Ζωής &amp; Υγείας 02/2026 (141,93 €)</t>
        </is>
      </c>
    </row>
    <row r="24" ht="22" customHeight="1">
      <c r="A24" s="31" t="inlineStr">
        <is>
          <t>04/2026</t>
        </is>
      </c>
      <c r="B24" s="34" t="n">
        <v>444.74</v>
      </c>
      <c r="C24" s="32" t="n">
        <v>2634.77</v>
      </c>
      <c r="D24" s="32" t="n">
        <v>7128.96</v>
      </c>
      <c r="E24" s="32" t="n">
        <v>0</v>
      </c>
      <c r="F24" s="34">
        <f>SUM(B24:E24)</f>
        <v/>
      </c>
      <c r="G24" s="32" t="n">
        <v>9576.07</v>
      </c>
      <c r="H24" s="6" t="inlineStr">
        <is>
          <t>Ταύτιση με Εκκαθάριση Ζωής &amp; Υγείας 03/2026 (444,74 €)</t>
        </is>
      </c>
    </row>
    <row r="25" ht="22" customHeight="1">
      <c r="A25" s="36" t="inlineStr">
        <is>
          <t>05/2026</t>
        </is>
      </c>
      <c r="B25" s="23" t="n">
        <v>371.22</v>
      </c>
      <c r="C25" s="37" t="n">
        <v>2293.62</v>
      </c>
      <c r="D25" s="37" t="n">
        <v>7090.97</v>
      </c>
      <c r="E25" s="37" t="n">
        <v>5.98</v>
      </c>
      <c r="F25" s="23">
        <f>SUM(B25:E25)</f>
        <v/>
      </c>
      <c r="G25" s="37" t="n">
        <v>5221.86</v>
      </c>
      <c r="H25" s="8" t="inlineStr">
        <is>
          <t>Ταύτιση με Εκκαθάριση Ζωής &amp; Υγείας 04/2026 (371,22 €)</t>
        </is>
      </c>
    </row>
    <row r="26" ht="22" customHeight="1">
      <c r="A26" s="31" t="inlineStr">
        <is>
          <t>06/2026</t>
        </is>
      </c>
      <c r="B26" s="34" t="n">
        <v>60.71</v>
      </c>
      <c r="C26" s="32" t="n">
        <v>3163.54</v>
      </c>
      <c r="D26" s="32" t="n">
        <v>7214.2</v>
      </c>
      <c r="E26" s="32" t="n">
        <v>0</v>
      </c>
      <c r="F26" s="34">
        <f>SUM(B26:E26)</f>
        <v/>
      </c>
      <c r="G26" s="32" t="n">
        <v>15635.18</v>
      </c>
      <c r="H26" s="6" t="inlineStr">
        <is>
          <t>Ταύτιση με Εκκαθάριση Ζωής &amp; Υγείας 05/2026 (60,71 €)</t>
        </is>
      </c>
    </row>
    <row r="27" ht="22" customHeight="1">
      <c r="A27" s="36" t="inlineStr">
        <is>
          <t>07/2026</t>
        </is>
      </c>
      <c r="B27" s="23" t="n">
        <v>9.84</v>
      </c>
      <c r="C27" s="37" t="n">
        <v>1690.02</v>
      </c>
      <c r="D27" s="37" t="n">
        <v>8216.41</v>
      </c>
      <c r="E27" s="37" t="n">
        <v>0</v>
      </c>
      <c r="F27" s="23">
        <f>SUM(B27:E27)</f>
        <v/>
      </c>
      <c r="G27" s="37" t="n">
        <v>9246.379999999999</v>
      </c>
      <c r="H27" s="8" t="inlineStr">
        <is>
          <t>Ταύτιση με Εκκαθάριση Ζωής &amp; Υγείας 06/2026 (9,84 €)</t>
        </is>
      </c>
    </row>
    <row r="28" ht="22" customHeight="1">
      <c r="A28" s="31" t="inlineStr">
        <is>
          <t>08/2026</t>
        </is>
      </c>
      <c r="B28" s="34" t="n">
        <v>158.09</v>
      </c>
      <c r="C28" s="32" t="n">
        <v>772.23</v>
      </c>
      <c r="D28" s="32" t="n">
        <v>2924.98</v>
      </c>
      <c r="E28" s="32" t="n">
        <v>1.6</v>
      </c>
      <c r="F28" s="34">
        <f>SUM(B28:E28)</f>
        <v/>
      </c>
      <c r="G28" s="32" t="n">
        <v>5127.02</v>
      </c>
      <c r="H28" s="6" t="inlineStr">
        <is>
          <t>Ταύτιση με Εκκαθάριση Ζωής &amp; Υγείας 07/2026 (158,09 €)</t>
        </is>
      </c>
    </row>
    <row r="29" ht="24" customHeight="1">
      <c r="A29" s="50" t="inlineStr">
        <is>
          <t>ΣΥΝΟΛΑ ΚΑΡΤΕΛΑΣ 57 (01-08/2026):</t>
        </is>
      </c>
      <c r="B29" s="52">
        <f>SUM(B21:B28)</f>
        <v/>
      </c>
      <c r="C29" s="52">
        <f>SUM(C21:C28)</f>
        <v/>
      </c>
      <c r="D29" s="52">
        <f>SUM(D21:D28)</f>
        <v/>
      </c>
      <c r="E29" s="52">
        <f>SUM(E21:E28)</f>
        <v/>
      </c>
      <c r="F29" s="52">
        <f>SUM(F21:F28)</f>
        <v/>
      </c>
      <c r="G29" s="52">
        <f>SUM(G21:G28)</f>
        <v/>
      </c>
      <c r="H29" s="51" t="n"/>
    </row>
    <row r="30"/>
    <row r="31"/>
    <row r="32">
      <c r="A32" s="3" t="inlineStr">
        <is>
          <t>Γ. ΑΝΑΛΥΤΙΚΗ ΚΑΤΑΓΡΑΦΗ ΟΛΩΝ ΤΩΝ ΕΓΓΡΑΦΩΝ 'ΑΠΟΔΕΣΜΕΥΣΗ ΑΜΟΙΒΩΝ ΖΩΗΣ &amp; ΥΓΕΙΑΣ' ΣΤΟ PDF __57.pdf</t>
        </is>
      </c>
    </row>
    <row r="33" ht="26" customHeight="1">
      <c r="A33" s="77" t="inlineStr">
        <is>
          <t>Α/Α</t>
        </is>
      </c>
      <c r="B33" s="77" t="inlineStr">
        <is>
          <t>Ημερομηνία Κίνησης (Date)</t>
        </is>
      </c>
      <c r="C33" s="77" t="inlineStr">
        <is>
          <t>Περιγραφή Εγγραφής στην Καρτέλα ERGO</t>
        </is>
      </c>
      <c r="D33" s="77" t="inlineStr">
        <is>
          <t>Χρέωση (€)</t>
        </is>
      </c>
      <c r="E33" s="77" t="inlineStr">
        <is>
          <t>Πίστωση / Αποδέσμευση (€)</t>
        </is>
      </c>
      <c r="F33" s="77" t="inlineStr">
        <is>
          <t>Προοδευτικό Υπόλοιπο Λογαριασμού 57 (€)</t>
        </is>
      </c>
      <c r="G33" s="77" t="inlineStr">
        <is>
          <t>Αντιστοίχιση με Μήνα Εκκαθάρισης Statements</t>
        </is>
      </c>
      <c r="H33" s="77" t="inlineStr">
        <is>
          <t>Συμφωνία Ποσού (€)</t>
        </is>
      </c>
    </row>
    <row r="34" ht="20" customHeight="1">
      <c r="A34" s="31" t="n">
        <v>1</v>
      </c>
      <c r="B34" s="31" t="inlineStr">
        <is>
          <t>02.01.2026</t>
        </is>
      </c>
      <c r="C34" s="30" t="inlineStr">
        <is>
          <t>Αποδέσμευση αμοιβών Ζωής &amp; Υγείας</t>
        </is>
      </c>
      <c r="D34" s="32" t="n">
        <v>0</v>
      </c>
      <c r="E34" s="34" t="n">
        <v>13.4</v>
      </c>
      <c r="F34" s="32" t="n">
        <v>-114.73</v>
      </c>
      <c r="G34" s="30" t="inlineStr">
        <is>
          <t>Εκκαθάριση 12/2025</t>
        </is>
      </c>
      <c r="H34" s="82" t="n">
        <v>13.4</v>
      </c>
    </row>
    <row r="35" ht="20" customHeight="1">
      <c r="A35" s="36" t="n">
        <v>2</v>
      </c>
      <c r="B35" s="36" t="inlineStr">
        <is>
          <t>04.02.2026</t>
        </is>
      </c>
      <c r="C35" s="35" t="inlineStr">
        <is>
          <t>Αποδέσμευση αμοιβών Ζωής &amp; Υγείας</t>
        </is>
      </c>
      <c r="D35" s="37" t="n">
        <v>0</v>
      </c>
      <c r="E35" s="23" t="n">
        <v>15.79</v>
      </c>
      <c r="F35" s="37" t="n">
        <v>-3836.23</v>
      </c>
      <c r="G35" s="35" t="inlineStr">
        <is>
          <t>Εκκαθάριση 01/2026</t>
        </is>
      </c>
      <c r="H35" s="83" t="n">
        <v>15.79</v>
      </c>
    </row>
    <row r="36" ht="20" customHeight="1">
      <c r="A36" s="31" t="n">
        <v>3</v>
      </c>
      <c r="B36" s="31" t="inlineStr">
        <is>
          <t>04.03.2026</t>
        </is>
      </c>
      <c r="C36" s="30" t="inlineStr">
        <is>
          <t>Αποδέσμευση αμοιβών Ζωής &amp; Υγείας</t>
        </is>
      </c>
      <c r="D36" s="32" t="n">
        <v>0</v>
      </c>
      <c r="E36" s="34" t="n">
        <v>141.93</v>
      </c>
      <c r="F36" s="32" t="n">
        <v>-2147.59</v>
      </c>
      <c r="G36" s="30" t="inlineStr">
        <is>
          <t>Εκκαθάριση 02/2026</t>
        </is>
      </c>
      <c r="H36" s="82" t="n">
        <v>141.93</v>
      </c>
    </row>
    <row r="37" ht="20" customHeight="1">
      <c r="A37" s="36" t="n">
        <v>4</v>
      </c>
      <c r="B37" s="36" t="inlineStr">
        <is>
          <t>03.04.2026</t>
        </is>
      </c>
      <c r="C37" s="35" t="inlineStr">
        <is>
          <t>Αποδέσμευση αμοιβών Ζωής &amp; Υγείας</t>
        </is>
      </c>
      <c r="D37" s="37" t="n">
        <v>0</v>
      </c>
      <c r="E37" s="23" t="n">
        <v>444.74</v>
      </c>
      <c r="F37" s="37" t="n">
        <v>-4221.21</v>
      </c>
      <c r="G37" s="35" t="inlineStr">
        <is>
          <t>Εκκαθάριση 03/2026</t>
        </is>
      </c>
      <c r="H37" s="83" t="n">
        <v>444.74</v>
      </c>
    </row>
    <row r="38" ht="20" customHeight="1">
      <c r="A38" s="31" t="n">
        <v>5</v>
      </c>
      <c r="B38" s="31" t="inlineStr">
        <is>
          <t>04.05.2026</t>
        </is>
      </c>
      <c r="C38" s="30" t="inlineStr">
        <is>
          <t>Αποδέσμευση αμοιβών Ζωής &amp; Υγείας</t>
        </is>
      </c>
      <c r="D38" s="32" t="n">
        <v>0</v>
      </c>
      <c r="E38" s="34" t="n">
        <v>371.22</v>
      </c>
      <c r="F38" s="32" t="n">
        <v>-4612.24</v>
      </c>
      <c r="G38" s="30" t="inlineStr">
        <is>
          <t>Εκκαθάριση 04/2026</t>
        </is>
      </c>
      <c r="H38" s="82" t="n">
        <v>371.22</v>
      </c>
    </row>
    <row r="39" ht="20" customHeight="1">
      <c r="A39" s="36" t="n">
        <v>6</v>
      </c>
      <c r="B39" s="36" t="inlineStr">
        <is>
          <t>04.06.2026</t>
        </is>
      </c>
      <c r="C39" s="35" t="inlineStr">
        <is>
          <t>Αποδέσμευση αμοιβών Ζωής &amp; Υγείας</t>
        </is>
      </c>
      <c r="D39" s="37" t="n">
        <v>0</v>
      </c>
      <c r="E39" s="23" t="n">
        <v>60.71</v>
      </c>
      <c r="F39" s="37" t="n">
        <v>-8998.620000000001</v>
      </c>
      <c r="G39" s="35" t="inlineStr">
        <is>
          <t>Εκκαθάριση 05/2026</t>
        </is>
      </c>
      <c r="H39" s="83" t="n">
        <v>60.71</v>
      </c>
    </row>
    <row r="40" ht="20" customHeight="1">
      <c r="A40" s="31" t="n">
        <v>7</v>
      </c>
      <c r="B40" s="31" t="inlineStr">
        <is>
          <t>03.07.2026</t>
        </is>
      </c>
      <c r="C40" s="30" t="inlineStr">
        <is>
          <t>Αποδέσμευση αμοιβών Ζωής &amp; Υγείας</t>
        </is>
      </c>
      <c r="D40" s="32" t="n">
        <v>0</v>
      </c>
      <c r="E40" s="34" t="n">
        <v>9.84</v>
      </c>
      <c r="F40" s="32" t="n">
        <v>-3910.17</v>
      </c>
      <c r="G40" s="30" t="inlineStr">
        <is>
          <t>Εκκαθάριση 06/2026</t>
        </is>
      </c>
      <c r="H40" s="82" t="n">
        <v>9.84</v>
      </c>
    </row>
    <row r="41" ht="20" customHeight="1">
      <c r="A41" s="36" t="n">
        <v>8</v>
      </c>
      <c r="B41" s="36" t="inlineStr">
        <is>
          <t>04.08.2026</t>
        </is>
      </c>
      <c r="C41" s="35" t="inlineStr">
        <is>
          <t>Αποδέσμευση αμοιβών Ζωής &amp; Υγείας</t>
        </is>
      </c>
      <c r="D41" s="37" t="n">
        <v>0</v>
      </c>
      <c r="E41" s="23" t="n">
        <v>158.09</v>
      </c>
      <c r="F41" s="37" t="n">
        <v>-4749.26</v>
      </c>
      <c r="G41" s="35" t="inlineStr">
        <is>
          <t>Εκκαθάριση 07/2026</t>
        </is>
      </c>
      <c r="H41" s="83" t="n">
        <v>158.09</v>
      </c>
    </row>
    <row r="42" ht="24" customHeight="1">
      <c r="A42" s="62" t="inlineStr">
        <is>
          <t>ΣΥΝΟΛΟ ΑΠΟΔΕΣΜΕΥΣΕΩΝ ΖΩΗΣ &amp; ΥΓΕΙΑΣ:</t>
        </is>
      </c>
      <c r="B42" s="75" t="n"/>
      <c r="C42" s="75" t="n"/>
      <c r="D42" s="64">
        <f>SUM(D34:D41)</f>
        <v/>
      </c>
      <c r="E42" s="64">
        <f>SUM(E34:E41)</f>
        <v/>
      </c>
      <c r="F42" s="75" t="n"/>
      <c r="G42" s="75" t="n"/>
      <c r="H42" s="64">
        <f>SUM(H34:H41)</f>
        <v/>
      </c>
    </row>
  </sheetData>
  <mergeCells count="10">
    <mergeCell ref="G4:H4"/>
    <mergeCell ref="A1:J1"/>
    <mergeCell ref="I4:J4"/>
    <mergeCell ref="D5:F5"/>
    <mergeCell ref="A5:C5"/>
    <mergeCell ref="D4:F4"/>
    <mergeCell ref="G5:H5"/>
    <mergeCell ref="I5:J5"/>
    <mergeCell ref="A2:J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2026-08-14T20:38:28Z</dcterms:created>
  <dcterms:modified xmlns:dcterms="http://purl.org/dc/terms/" xmlns:xsi="http://www.w3.org/2001/XMLSchema-instance" xsi:type="dcterms:W3CDTF">2026-08-14T20:38:28Z</dcterms:modified>
</cp:coreProperties>
</file>